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30" yWindow="580" windowWidth="18880" windowHeight="7990" activeTab="6"/>
  </bookViews>
  <sheets>
    <sheet name="Sheet1" sheetId="4" r:id="rId1"/>
    <sheet name="Sheet2" sheetId="5" r:id="rId2"/>
    <sheet name="Sheet3" sheetId="6" r:id="rId3"/>
    <sheet name="Sheet4" sheetId="7" r:id="rId4"/>
    <sheet name="Sheet6" sheetId="9" r:id="rId5"/>
    <sheet name="Cleaned_data" sheetId="2" r:id="rId6"/>
    <sheet name="Dashboard" sheetId="8" r:id="rId7"/>
  </sheets>
  <definedNames>
    <definedName name="Slicer_Payment_Method">#N/A</definedName>
    <definedName name="Slicer_Product_Category">#N/A</definedName>
    <definedName name="Slicer_Product_Name">#N/A</definedName>
  </definedNames>
  <calcPr calcId="144525"/>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 i="8" l="1"/>
  <c r="H2" i="8"/>
  <c r="F2" i="8"/>
  <c r="D2" i="8"/>
</calcChain>
</file>

<file path=xl/sharedStrings.xml><?xml version="1.0" encoding="utf-8"?>
<sst xmlns="http://schemas.openxmlformats.org/spreadsheetml/2006/main" count="7252" uniqueCount="1541">
  <si>
    <t>Order ID</t>
  </si>
  <si>
    <t>Order Date</t>
  </si>
  <si>
    <t>Customer Name</t>
  </si>
  <si>
    <t>Region</t>
  </si>
  <si>
    <t>Product Category</t>
  </si>
  <si>
    <t>Product Name</t>
  </si>
  <si>
    <t>Quantity</t>
  </si>
  <si>
    <t>Unit Price</t>
  </si>
  <si>
    <t>Total Sales</t>
  </si>
  <si>
    <t>Cost</t>
  </si>
  <si>
    <t>Profit</t>
  </si>
  <si>
    <t>Payment Method</t>
  </si>
  <si>
    <t>ORD0001</t>
  </si>
  <si>
    <t>Customer 201</t>
  </si>
  <si>
    <t>East</t>
  </si>
  <si>
    <t>Home</t>
  </si>
  <si>
    <t>Table</t>
  </si>
  <si>
    <t>bKash</t>
  </si>
  <si>
    <t>ORD0002</t>
  </si>
  <si>
    <t>Customer 30</t>
  </si>
  <si>
    <t>Lamp</t>
  </si>
  <si>
    <t>Nagad</t>
  </si>
  <si>
    <t>ORD0003</t>
  </si>
  <si>
    <t>Customer 113</t>
  </si>
  <si>
    <t>West</t>
  </si>
  <si>
    <t>Chair</t>
  </si>
  <si>
    <t>ORD0004</t>
  </si>
  <si>
    <t>Customer 68</t>
  </si>
  <si>
    <t>South</t>
  </si>
  <si>
    <t>Electronics</t>
  </si>
  <si>
    <t>Keyboard</t>
  </si>
  <si>
    <t>ORD0005</t>
  </si>
  <si>
    <t>Customer 49</t>
  </si>
  <si>
    <t>Clothing</t>
  </si>
  <si>
    <t>Jeans</t>
  </si>
  <si>
    <t>Card</t>
  </si>
  <si>
    <t>ORD0006</t>
  </si>
  <si>
    <t>Customer 128</t>
  </si>
  <si>
    <t>Accessories</t>
  </si>
  <si>
    <t>Watch</t>
  </si>
  <si>
    <t>ORD0007</t>
  </si>
  <si>
    <t>Customer 28</t>
  </si>
  <si>
    <t>North</t>
  </si>
  <si>
    <t>Mouse</t>
  </si>
  <si>
    <t>Cash</t>
  </si>
  <si>
    <t>ORD0008</t>
  </si>
  <si>
    <t>Customer 285</t>
  </si>
  <si>
    <t>USB Cable</t>
  </si>
  <si>
    <t>ORD0009</t>
  </si>
  <si>
    <t>Customer 40</t>
  </si>
  <si>
    <t>ORD0010</t>
  </si>
  <si>
    <t>Customer 119</t>
  </si>
  <si>
    <t>Bag</t>
  </si>
  <si>
    <t>ORD0011</t>
  </si>
  <si>
    <t>Customer 212</t>
  </si>
  <si>
    <t>T-Shirt</t>
  </si>
  <si>
    <t>ORD0012</t>
  </si>
  <si>
    <t>ORD0013</t>
  </si>
  <si>
    <t>Wallet</t>
  </si>
  <si>
    <t>ORD0014</t>
  </si>
  <si>
    <t>Customer 137</t>
  </si>
  <si>
    <t>ORD0015</t>
  </si>
  <si>
    <t>Customer 215</t>
  </si>
  <si>
    <t>ORD0016</t>
  </si>
  <si>
    <t>Customer 59</t>
  </si>
  <si>
    <t>ORD0017</t>
  </si>
  <si>
    <t>Customer 283</t>
  </si>
  <si>
    <t>ORD0018</t>
  </si>
  <si>
    <t>Customer 88</t>
  </si>
  <si>
    <t>ORD0019</t>
  </si>
  <si>
    <t>Customer 190</t>
  </si>
  <si>
    <t>ORD0020</t>
  </si>
  <si>
    <t>Customer 240</t>
  </si>
  <si>
    <t>ORD0021</t>
  </si>
  <si>
    <t>Customer 175</t>
  </si>
  <si>
    <t>Headphone</t>
  </si>
  <si>
    <t>ORD0022</t>
  </si>
  <si>
    <t>Customer 268</t>
  </si>
  <si>
    <t>ORD0023</t>
  </si>
  <si>
    <t>Customer 154</t>
  </si>
  <si>
    <t>ORD0024</t>
  </si>
  <si>
    <t>Customer 157</t>
  </si>
  <si>
    <t>ORD0025</t>
  </si>
  <si>
    <t>Customer 290</t>
  </si>
  <si>
    <t>ORD0026</t>
  </si>
  <si>
    <t>Customer 254</t>
  </si>
  <si>
    <t>ORD0027</t>
  </si>
  <si>
    <t>Customer 188</t>
  </si>
  <si>
    <t>ORD0028</t>
  </si>
  <si>
    <t>Customer 289</t>
  </si>
  <si>
    <t>ORD0029</t>
  </si>
  <si>
    <t>Customer 176</t>
  </si>
  <si>
    <t>Jacket</t>
  </si>
  <si>
    <t>ORD0030</t>
  </si>
  <si>
    <t>ORD0031</t>
  </si>
  <si>
    <t>Customer 183</t>
  </si>
  <si>
    <t>ORD0032</t>
  </si>
  <si>
    <t>Customer 178</t>
  </si>
  <si>
    <t>ORD0033</t>
  </si>
  <si>
    <t>Customer 151</t>
  </si>
  <si>
    <t>ORD0034</t>
  </si>
  <si>
    <t>Customer 45</t>
  </si>
  <si>
    <t>ORD0035</t>
  </si>
  <si>
    <t>Customer 159</t>
  </si>
  <si>
    <t>ORD0036</t>
  </si>
  <si>
    <t>Customer 122</t>
  </si>
  <si>
    <t>ORD0037</t>
  </si>
  <si>
    <t>Customer 280</t>
  </si>
  <si>
    <t>ORD0038</t>
  </si>
  <si>
    <t>Customer 27</t>
  </si>
  <si>
    <t>ORD0039</t>
  </si>
  <si>
    <t>ORD0040</t>
  </si>
  <si>
    <t>Customer 217</t>
  </si>
  <si>
    <t>ORD0041</t>
  </si>
  <si>
    <t>Customer 267</t>
  </si>
  <si>
    <t>ORD0042</t>
  </si>
  <si>
    <t>Customer 294</t>
  </si>
  <si>
    <t>ORD0043</t>
  </si>
  <si>
    <t>Customer 8</t>
  </si>
  <si>
    <t>ORD0044</t>
  </si>
  <si>
    <t>Customer 249</t>
  </si>
  <si>
    <t>ORD0045</t>
  </si>
  <si>
    <t>Customer 85</t>
  </si>
  <si>
    <t>ORD0046</t>
  </si>
  <si>
    <t>ORD0047</t>
  </si>
  <si>
    <t>Customer 199</t>
  </si>
  <si>
    <t>ORD0048</t>
  </si>
  <si>
    <t>ORD0049</t>
  </si>
  <si>
    <t>Customer 29</t>
  </si>
  <si>
    <t>ORD0050</t>
  </si>
  <si>
    <t>Customer 42</t>
  </si>
  <si>
    <t>ORD0051</t>
  </si>
  <si>
    <t>Customer 191</t>
  </si>
  <si>
    <t>ORD0052</t>
  </si>
  <si>
    <t>Customer 100</t>
  </si>
  <si>
    <t>ORD0053</t>
  </si>
  <si>
    <t>Customer 134</t>
  </si>
  <si>
    <t>ORD0054</t>
  </si>
  <si>
    <t>Customer 90</t>
  </si>
  <si>
    <t>ORD0055</t>
  </si>
  <si>
    <t>Customer 51</t>
  </si>
  <si>
    <t>ORD0056</t>
  </si>
  <si>
    <t>Customer 5</t>
  </si>
  <si>
    <t>ORD0057</t>
  </si>
  <si>
    <t>Customer 39</t>
  </si>
  <si>
    <t>ORD0058</t>
  </si>
  <si>
    <t>Customer 9</t>
  </si>
  <si>
    <t>ORD0059</t>
  </si>
  <si>
    <t>Customer 206</t>
  </si>
  <si>
    <t>ORD0060</t>
  </si>
  <si>
    <t>Customer 209</t>
  </si>
  <si>
    <t>ORD0061</t>
  </si>
  <si>
    <t>ORD0062</t>
  </si>
  <si>
    <t>Customer 109</t>
  </si>
  <si>
    <t>ORD0063</t>
  </si>
  <si>
    <t>Customer 57</t>
  </si>
  <si>
    <t>ORD0064</t>
  </si>
  <si>
    <t>Customer 166</t>
  </si>
  <si>
    <t>ORD0065</t>
  </si>
  <si>
    <t>Customer 36</t>
  </si>
  <si>
    <t>ORD0066</t>
  </si>
  <si>
    <t>Customer 52</t>
  </si>
  <si>
    <t>ORD0067</t>
  </si>
  <si>
    <t>Customer 264</t>
  </si>
  <si>
    <t>ORD0068</t>
  </si>
  <si>
    <t>Customer 60</t>
  </si>
  <si>
    <t>ORD0069</t>
  </si>
  <si>
    <t>Customer 104</t>
  </si>
  <si>
    <t>ORD0070</t>
  </si>
  <si>
    <t>Customer 148</t>
  </si>
  <si>
    <t>ORD0071</t>
  </si>
  <si>
    <t>Customer 34</t>
  </si>
  <si>
    <t>ORD0072</t>
  </si>
  <si>
    <t>Customer 288</t>
  </si>
  <si>
    <t>ORD0073</t>
  </si>
  <si>
    <t>Customer 136</t>
  </si>
  <si>
    <t>ORD0074</t>
  </si>
  <si>
    <t>Customer 276</t>
  </si>
  <si>
    <t>ORD0075</t>
  </si>
  <si>
    <t>Customer 140</t>
  </si>
  <si>
    <t>ORD0076</t>
  </si>
  <si>
    <t>Customer 180</t>
  </si>
  <si>
    <t>ORD0077</t>
  </si>
  <si>
    <t>ORD0078</t>
  </si>
  <si>
    <t>Customer 279</t>
  </si>
  <si>
    <t>ORD0079</t>
  </si>
  <si>
    <t>ORD0080</t>
  </si>
  <si>
    <t>Customer 192</t>
  </si>
  <si>
    <t>ORD0081</t>
  </si>
  <si>
    <t>Customer 273</t>
  </si>
  <si>
    <t>ORD0082</t>
  </si>
  <si>
    <t>ORD0083</t>
  </si>
  <si>
    <t>ORD0084</t>
  </si>
  <si>
    <t>Customer 247</t>
  </si>
  <si>
    <t>ORD0085</t>
  </si>
  <si>
    <t>ORD0086</t>
  </si>
  <si>
    <t>Customer 96</t>
  </si>
  <si>
    <t>ORD0087</t>
  </si>
  <si>
    <t>ORD0088</t>
  </si>
  <si>
    <t>Customer 228</t>
  </si>
  <si>
    <t>ORD0089</t>
  </si>
  <si>
    <t>Customer 18</t>
  </si>
  <si>
    <t>ORD0090</t>
  </si>
  <si>
    <t>Customer 158</t>
  </si>
  <si>
    <t>ORD0091</t>
  </si>
  <si>
    <t>Customer 214</t>
  </si>
  <si>
    <t>ORD0092</t>
  </si>
  <si>
    <t>Customer 82</t>
  </si>
  <si>
    <t>ORD0093</t>
  </si>
  <si>
    <t>Customer 149</t>
  </si>
  <si>
    <t>ORD0094</t>
  </si>
  <si>
    <t>Customer 95</t>
  </si>
  <si>
    <t>ORD0095</t>
  </si>
  <si>
    <t>ORD0096</t>
  </si>
  <si>
    <t>Customer 99</t>
  </si>
  <si>
    <t>ORD0097</t>
  </si>
  <si>
    <t>Customer 73</t>
  </si>
  <si>
    <t>ORD0098</t>
  </si>
  <si>
    <t>Customer 205</t>
  </si>
  <si>
    <t>ORD0099</t>
  </si>
  <si>
    <t>Customer 263</t>
  </si>
  <si>
    <t>ORD0100</t>
  </si>
  <si>
    <t>Customer 97</t>
  </si>
  <si>
    <t>ORD0101</t>
  </si>
  <si>
    <t>Customer 114</t>
  </si>
  <si>
    <t>ORD0102</t>
  </si>
  <si>
    <t>ORD0103</t>
  </si>
  <si>
    <t>ORD0104</t>
  </si>
  <si>
    <t>Customer 92</t>
  </si>
  <si>
    <t>ORD0105</t>
  </si>
  <si>
    <t>Customer 220</t>
  </si>
  <si>
    <t>ORD0106</t>
  </si>
  <si>
    <t>ORD0107</t>
  </si>
  <si>
    <t>ORD0108</t>
  </si>
  <si>
    <t>Customer 81</t>
  </si>
  <si>
    <t>ORD0109</t>
  </si>
  <si>
    <t>Customer 91</t>
  </si>
  <si>
    <t>ORD0110</t>
  </si>
  <si>
    <t>ORD0111</t>
  </si>
  <si>
    <t>Customer 25</t>
  </si>
  <si>
    <t>ORD0112</t>
  </si>
  <si>
    <t>Customer 271</t>
  </si>
  <si>
    <t>ORD0113</t>
  </si>
  <si>
    <t>Customer 165</t>
  </si>
  <si>
    <t>ORD0114</t>
  </si>
  <si>
    <t>Customer 32</t>
  </si>
  <si>
    <t>ORD0115</t>
  </si>
  <si>
    <t>ORD0116</t>
  </si>
  <si>
    <t>ORD0117</t>
  </si>
  <si>
    <t>Customer 127</t>
  </si>
  <si>
    <t>ORD0118</t>
  </si>
  <si>
    <t>Customer 24</t>
  </si>
  <si>
    <t>ORD0119</t>
  </si>
  <si>
    <t>Customer 19</t>
  </si>
  <si>
    <t>ORD0120</t>
  </si>
  <si>
    <t>Customer 172</t>
  </si>
  <si>
    <t>ORD0121</t>
  </si>
  <si>
    <t>Customer 150</t>
  </si>
  <si>
    <t>ORD0122</t>
  </si>
  <si>
    <t>Customer 6</t>
  </si>
  <si>
    <t>ORD0123</t>
  </si>
  <si>
    <t>ORD0124</t>
  </si>
  <si>
    <t>Customer 204</t>
  </si>
  <si>
    <t>ORD0125</t>
  </si>
  <si>
    <t>ORD0126</t>
  </si>
  <si>
    <t>ORD0127</t>
  </si>
  <si>
    <t>Customer 221</t>
  </si>
  <si>
    <t>ORD0128</t>
  </si>
  <si>
    <t>Customer 160</t>
  </si>
  <si>
    <t>ORD0129</t>
  </si>
  <si>
    <t>Customer 181</t>
  </si>
  <si>
    <t>ORD0130</t>
  </si>
  <si>
    <t>ORD0131</t>
  </si>
  <si>
    <t>Customer 291</t>
  </si>
  <si>
    <t>ORD0132</t>
  </si>
  <si>
    <t>Customer 255</t>
  </si>
  <si>
    <t>ORD0133</t>
  </si>
  <si>
    <t>Customer 232</t>
  </si>
  <si>
    <t>ORD0134</t>
  </si>
  <si>
    <t>Customer 250</t>
  </si>
  <si>
    <t>ORD0135</t>
  </si>
  <si>
    <t>ORD0136</t>
  </si>
  <si>
    <t>Customer 12</t>
  </si>
  <si>
    <t>ORD0137</t>
  </si>
  <si>
    <t>Customer 31</t>
  </si>
  <si>
    <t>ORD0138</t>
  </si>
  <si>
    <t>Customer 245</t>
  </si>
  <si>
    <t>ORD0139</t>
  </si>
  <si>
    <t>Customer 16</t>
  </si>
  <si>
    <t>ORD0140</t>
  </si>
  <si>
    <t>ORD0141</t>
  </si>
  <si>
    <t>ORD0142</t>
  </si>
  <si>
    <t>ORD0143</t>
  </si>
  <si>
    <t>Customer 67</t>
  </si>
  <si>
    <t>ORD0144</t>
  </si>
  <si>
    <t>ORD0145</t>
  </si>
  <si>
    <t>Customer 138</t>
  </si>
  <si>
    <t>ORD0146</t>
  </si>
  <si>
    <t>Customer 184</t>
  </si>
  <si>
    <t>ORD0147</t>
  </si>
  <si>
    <t>ORD0148</t>
  </si>
  <si>
    <t>ORD0149</t>
  </si>
  <si>
    <t>Customer 170</t>
  </si>
  <si>
    <t>ORD0150</t>
  </si>
  <si>
    <t>Customer 74</t>
  </si>
  <si>
    <t>ORD0151</t>
  </si>
  <si>
    <t>ORD0152</t>
  </si>
  <si>
    <t>ORD0153</t>
  </si>
  <si>
    <t>Customer 266</t>
  </si>
  <si>
    <t>ORD0154</t>
  </si>
  <si>
    <t>ORD0155</t>
  </si>
  <si>
    <t>ORD0156</t>
  </si>
  <si>
    <t>Customer 229</t>
  </si>
  <si>
    <t>ORD0157</t>
  </si>
  <si>
    <t>ORD0158</t>
  </si>
  <si>
    <t>ORD0159</t>
  </si>
  <si>
    <t>ORD0160</t>
  </si>
  <si>
    <t>ORD0161</t>
  </si>
  <si>
    <t>ORD0162</t>
  </si>
  <si>
    <t>ORD0163</t>
  </si>
  <si>
    <t>Customer 222</t>
  </si>
  <si>
    <t>ORD0164</t>
  </si>
  <si>
    <t>ORD0165</t>
  </si>
  <si>
    <t>ORD0166</t>
  </si>
  <si>
    <t>ORD0167</t>
  </si>
  <si>
    <t>ORD0168</t>
  </si>
  <si>
    <t>Customer 257</t>
  </si>
  <si>
    <t>ORD0169</t>
  </si>
  <si>
    <t>Customer 235</t>
  </si>
  <si>
    <t>ORD0170</t>
  </si>
  <si>
    <t>Customer 213</t>
  </si>
  <si>
    <t>ORD0171</t>
  </si>
  <si>
    <t>Customer 61</t>
  </si>
  <si>
    <t>ORD0172</t>
  </si>
  <si>
    <t>Customer 107</t>
  </si>
  <si>
    <t>ORD0173</t>
  </si>
  <si>
    <t>ORD0174</t>
  </si>
  <si>
    <t>ORD0175</t>
  </si>
  <si>
    <t>Customer 156</t>
  </si>
  <si>
    <t>ORD0176</t>
  </si>
  <si>
    <t>Customer 237</t>
  </si>
  <si>
    <t>ORD0177</t>
  </si>
  <si>
    <t>Customer 296</t>
  </si>
  <si>
    <t>ORD0178</t>
  </si>
  <si>
    <t>Customer 234</t>
  </si>
  <si>
    <t>ORD0179</t>
  </si>
  <si>
    <t>ORD0180</t>
  </si>
  <si>
    <t>ORD0181</t>
  </si>
  <si>
    <t>ORD0182</t>
  </si>
  <si>
    <t>Customer 77</t>
  </si>
  <si>
    <t>ORD0183</t>
  </si>
  <si>
    <t>ORD0184</t>
  </si>
  <si>
    <t>Customer 43</t>
  </si>
  <si>
    <t>ORD0185</t>
  </si>
  <si>
    <t>Customer 70</t>
  </si>
  <si>
    <t>ORD0186</t>
  </si>
  <si>
    <t>ORD0187</t>
  </si>
  <si>
    <t>ORD0188</t>
  </si>
  <si>
    <t>Customer 223</t>
  </si>
  <si>
    <t>ORD0189</t>
  </si>
  <si>
    <t>ORD0190</t>
  </si>
  <si>
    <t>ORD0191</t>
  </si>
  <si>
    <t>ORD0192</t>
  </si>
  <si>
    <t>ORD0193</t>
  </si>
  <si>
    <t>ORD0194</t>
  </si>
  <si>
    <t>Customer 253</t>
  </si>
  <si>
    <t>ORD0195</t>
  </si>
  <si>
    <t>ORD0196</t>
  </si>
  <si>
    <t>ORD0197</t>
  </si>
  <si>
    <t>Customer 56</t>
  </si>
  <si>
    <t>ORD0198</t>
  </si>
  <si>
    <t>ORD0199</t>
  </si>
  <si>
    <t>ORD0200</t>
  </si>
  <si>
    <t>Customer 71</t>
  </si>
  <si>
    <t>ORD0201</t>
  </si>
  <si>
    <t>ORD0202</t>
  </si>
  <si>
    <t>Customer 50</t>
  </si>
  <si>
    <t>ORD0203</t>
  </si>
  <si>
    <t>Customer 83</t>
  </si>
  <si>
    <t>ORD0204</t>
  </si>
  <si>
    <t>Customer 155</t>
  </si>
  <si>
    <t>ORD0205</t>
  </si>
  <si>
    <t>ORD0206</t>
  </si>
  <si>
    <t>Customer 260</t>
  </si>
  <si>
    <t>ORD0207</t>
  </si>
  <si>
    <t>ORD0208</t>
  </si>
  <si>
    <t>ORD0209</t>
  </si>
  <si>
    <t>ORD0210</t>
  </si>
  <si>
    <t>ORD0211</t>
  </si>
  <si>
    <t>Customer 248</t>
  </si>
  <si>
    <t>ORD0212</t>
  </si>
  <si>
    <t>Customer 17</t>
  </si>
  <si>
    <t>ORD0213</t>
  </si>
  <si>
    <t>ORD0214</t>
  </si>
  <si>
    <t>Customer 174</t>
  </si>
  <si>
    <t>ORD0215</t>
  </si>
  <si>
    <t>ORD0216</t>
  </si>
  <si>
    <t>ORD0217</t>
  </si>
  <si>
    <t>Customer 162</t>
  </si>
  <si>
    <t>ORD0218</t>
  </si>
  <si>
    <t>Customer 13</t>
  </si>
  <si>
    <t>ORD0219</t>
  </si>
  <si>
    <t>Customer 286</t>
  </si>
  <si>
    <t>ORD0220</t>
  </si>
  <si>
    <t>Customer 186</t>
  </si>
  <si>
    <t>ORD0221</t>
  </si>
  <si>
    <t>ORD0222</t>
  </si>
  <si>
    <t>Customer 284</t>
  </si>
  <si>
    <t>ORD0223</t>
  </si>
  <si>
    <t>ORD0224</t>
  </si>
  <si>
    <t>Customer 144</t>
  </si>
  <si>
    <t>ORD0225</t>
  </si>
  <si>
    <t>Customer 169</t>
  </si>
  <si>
    <t>ORD0226</t>
  </si>
  <si>
    <t>Customer 233</t>
  </si>
  <si>
    <t>ORD0227</t>
  </si>
  <si>
    <t>Customer 131</t>
  </si>
  <si>
    <t>ORD0228</t>
  </si>
  <si>
    <t>Customer 292</t>
  </si>
  <si>
    <t>ORD0229</t>
  </si>
  <si>
    <t>ORD0230</t>
  </si>
  <si>
    <t>Customer 75</t>
  </si>
  <si>
    <t>ORD0231</t>
  </si>
  <si>
    <t>ORD0232</t>
  </si>
  <si>
    <t>Customer 110</t>
  </si>
  <si>
    <t>ORD0233</t>
  </si>
  <si>
    <t>Customer 63</t>
  </si>
  <si>
    <t>ORD0234</t>
  </si>
  <si>
    <t>Customer 198</t>
  </si>
  <si>
    <t>ORD0235</t>
  </si>
  <si>
    <t>ORD0236</t>
  </si>
  <si>
    <t>ORD0237</t>
  </si>
  <si>
    <t>Customer 164</t>
  </si>
  <si>
    <t>ORD0238</t>
  </si>
  <si>
    <t>Customer 26</t>
  </si>
  <si>
    <t>ORD0239</t>
  </si>
  <si>
    <t>ORD0240</t>
  </si>
  <si>
    <t>ORD0241</t>
  </si>
  <si>
    <t>Customer 236</t>
  </si>
  <si>
    <t>ORD0242</t>
  </si>
  <si>
    <t>Customer 84</t>
  </si>
  <si>
    <t>ORD0243</t>
  </si>
  <si>
    <t>Customer 177</t>
  </si>
  <si>
    <t>ORD0244</t>
  </si>
  <si>
    <t>ORD0245</t>
  </si>
  <si>
    <t>Customer 211</t>
  </si>
  <si>
    <t>ORD0246</t>
  </si>
  <si>
    <t>Customer 261</t>
  </si>
  <si>
    <t>ORD0247</t>
  </si>
  <si>
    <t>ORD0248</t>
  </si>
  <si>
    <t>ORD0249</t>
  </si>
  <si>
    <t>ORD0250</t>
  </si>
  <si>
    <t>ORD0251</t>
  </si>
  <si>
    <t>ORD0252</t>
  </si>
  <si>
    <t>ORD0253</t>
  </si>
  <si>
    <t>ORD0254</t>
  </si>
  <si>
    <t>ORD0255</t>
  </si>
  <si>
    <t>ORD0256</t>
  </si>
  <si>
    <t>ORD0257</t>
  </si>
  <si>
    <t>Customer 46</t>
  </si>
  <si>
    <t>ORD0258</t>
  </si>
  <si>
    <t>Customer 78</t>
  </si>
  <si>
    <t>ORD0259</t>
  </si>
  <si>
    <t>ORD0260</t>
  </si>
  <si>
    <t>ORD0261</t>
  </si>
  <si>
    <t>ORD0262</t>
  </si>
  <si>
    <t>Customer 37</t>
  </si>
  <si>
    <t>ORD0263</t>
  </si>
  <si>
    <t>ORD0264</t>
  </si>
  <si>
    <t>ORD0265</t>
  </si>
  <si>
    <t>ORD0266</t>
  </si>
  <si>
    <t>ORD0267</t>
  </si>
  <si>
    <t>ORD0268</t>
  </si>
  <si>
    <t>ORD0269</t>
  </si>
  <si>
    <t>ORD0270</t>
  </si>
  <si>
    <t>ORD0271</t>
  </si>
  <si>
    <t>ORD0272</t>
  </si>
  <si>
    <t>ORD0273</t>
  </si>
  <si>
    <t>Customer 54</t>
  </si>
  <si>
    <t>ORD0274</t>
  </si>
  <si>
    <t>ORD0275</t>
  </si>
  <si>
    <t>Customer 101</t>
  </si>
  <si>
    <t>ORD0276</t>
  </si>
  <si>
    <t>Customer 196</t>
  </si>
  <si>
    <t>ORD0277</t>
  </si>
  <si>
    <t>ORD0278</t>
  </si>
  <si>
    <t>Customer 135</t>
  </si>
  <si>
    <t>ORD0279</t>
  </si>
  <si>
    <t>ORD0280</t>
  </si>
  <si>
    <t>Customer 33</t>
  </si>
  <si>
    <t>ORD0281</t>
  </si>
  <si>
    <t>Customer 38</t>
  </si>
  <si>
    <t>ORD0282</t>
  </si>
  <si>
    <t>ORD0283</t>
  </si>
  <si>
    <t>ORD0284</t>
  </si>
  <si>
    <t>ORD0285</t>
  </si>
  <si>
    <t>ORD0286</t>
  </si>
  <si>
    <t>ORD0287</t>
  </si>
  <si>
    <t>Customer 244</t>
  </si>
  <si>
    <t>ORD0288</t>
  </si>
  <si>
    <t>Customer 72</t>
  </si>
  <si>
    <t>ORD0289</t>
  </si>
  <si>
    <t>Customer 86</t>
  </si>
  <si>
    <t>ORD0290</t>
  </si>
  <si>
    <t>ORD0291</t>
  </si>
  <si>
    <t>Customer 182</t>
  </si>
  <si>
    <t>ORD0292</t>
  </si>
  <si>
    <t>Customer 69</t>
  </si>
  <si>
    <t>ORD0293</t>
  </si>
  <si>
    <t>ORD0294</t>
  </si>
  <si>
    <t>ORD0295</t>
  </si>
  <si>
    <t>ORD0296</t>
  </si>
  <si>
    <t>Customer 251</t>
  </si>
  <si>
    <t>ORD0297</t>
  </si>
  <si>
    <t>ORD0298</t>
  </si>
  <si>
    <t>ORD0299</t>
  </si>
  <si>
    <t>Customer 146</t>
  </si>
  <si>
    <t>ORD0300</t>
  </si>
  <si>
    <t>Customer 3</t>
  </si>
  <si>
    <t>ORD0301</t>
  </si>
  <si>
    <t>ORD0302</t>
  </si>
  <si>
    <t>Customer 112</t>
  </si>
  <si>
    <t>ORD0303</t>
  </si>
  <si>
    <t>ORD0304</t>
  </si>
  <si>
    <t>ORD0305</t>
  </si>
  <si>
    <t>ORD0306</t>
  </si>
  <si>
    <t>ORD0307</t>
  </si>
  <si>
    <t>Customer 185</t>
  </si>
  <si>
    <t>ORD0308</t>
  </si>
  <si>
    <t>ORD0309</t>
  </si>
  <si>
    <t>ORD0310</t>
  </si>
  <si>
    <t>ORD0311</t>
  </si>
  <si>
    <t>ORD0312</t>
  </si>
  <si>
    <t>Customer 216</t>
  </si>
  <si>
    <t>ORD0313</t>
  </si>
  <si>
    <t>Customer 168</t>
  </si>
  <si>
    <t>ORD0314</t>
  </si>
  <si>
    <t>ORD0315</t>
  </si>
  <si>
    <t>Customer 132</t>
  </si>
  <si>
    <t>ORD0316</t>
  </si>
  <si>
    <t>ORD0317</t>
  </si>
  <si>
    <t>Customer 203</t>
  </si>
  <si>
    <t>ORD0318</t>
  </si>
  <si>
    <t>ORD0319</t>
  </si>
  <si>
    <t>ORD0320</t>
  </si>
  <si>
    <t>Customer 4</t>
  </si>
  <si>
    <t>ORD0321</t>
  </si>
  <si>
    <t>ORD0322</t>
  </si>
  <si>
    <t>Customer 179</t>
  </si>
  <si>
    <t>ORD0323</t>
  </si>
  <si>
    <t>ORD0324</t>
  </si>
  <si>
    <t>ORD0325</t>
  </si>
  <si>
    <t>Customer 142</t>
  </si>
  <si>
    <t>ORD0326</t>
  </si>
  <si>
    <t>ORD0327</t>
  </si>
  <si>
    <t>ORD0328</t>
  </si>
  <si>
    <t>Customer 300</t>
  </si>
  <si>
    <t>ORD0329</t>
  </si>
  <si>
    <t>ORD0330</t>
  </si>
  <si>
    <t>Customer 65</t>
  </si>
  <si>
    <t>ORD0331</t>
  </si>
  <si>
    <t>ORD0332</t>
  </si>
  <si>
    <t>Customer 111</t>
  </si>
  <si>
    <t>ORD0333</t>
  </si>
  <si>
    <t>ORD0334</t>
  </si>
  <si>
    <t>Customer 258</t>
  </si>
  <si>
    <t>ORD0335</t>
  </si>
  <si>
    <t>ORD0336</t>
  </si>
  <si>
    <t>Customer 53</t>
  </si>
  <si>
    <t>ORD0337</t>
  </si>
  <si>
    <t>Customer 152</t>
  </si>
  <si>
    <t>ORD0338</t>
  </si>
  <si>
    <t>Customer 117</t>
  </si>
  <si>
    <t>ORD0339</t>
  </si>
  <si>
    <t>ORD0340</t>
  </si>
  <si>
    <t>ORD0341</t>
  </si>
  <si>
    <t>ORD0342</t>
  </si>
  <si>
    <t>ORD0343</t>
  </si>
  <si>
    <t>Customer 35</t>
  </si>
  <si>
    <t>ORD0344</t>
  </si>
  <si>
    <t>ORD0345</t>
  </si>
  <si>
    <t>Customer 129</t>
  </si>
  <si>
    <t>ORD0346</t>
  </si>
  <si>
    <t>ORD0347</t>
  </si>
  <si>
    <t>Customer 208</t>
  </si>
  <si>
    <t>ORD0348</t>
  </si>
  <si>
    <t>Customer 189</t>
  </si>
  <si>
    <t>ORD0349</t>
  </si>
  <si>
    <t>Customer 121</t>
  </si>
  <si>
    <t>ORD0350</t>
  </si>
  <si>
    <t>Customer 1</t>
  </si>
  <si>
    <t>ORD0351</t>
  </si>
  <si>
    <t>ORD0352</t>
  </si>
  <si>
    <t>ORD0353</t>
  </si>
  <si>
    <t>ORD0354</t>
  </si>
  <si>
    <t>Customer 281</t>
  </si>
  <si>
    <t>ORD0355</t>
  </si>
  <si>
    <t>ORD0356</t>
  </si>
  <si>
    <t>ORD0357</t>
  </si>
  <si>
    <t>ORD0358</t>
  </si>
  <si>
    <t>ORD0359</t>
  </si>
  <si>
    <t>Customer 259</t>
  </si>
  <si>
    <t>ORD0360</t>
  </si>
  <si>
    <t>Customer 242</t>
  </si>
  <si>
    <t>ORD0361</t>
  </si>
  <si>
    <t>ORD0362</t>
  </si>
  <si>
    <t>ORD0363</t>
  </si>
  <si>
    <t>ORD0364</t>
  </si>
  <si>
    <t>ORD0365</t>
  </si>
  <si>
    <t>ORD0366</t>
  </si>
  <si>
    <t>ORD0367</t>
  </si>
  <si>
    <t>ORD0368</t>
  </si>
  <si>
    <t>ORD0369</t>
  </si>
  <si>
    <t>ORD0370</t>
  </si>
  <si>
    <t>ORD0371</t>
  </si>
  <si>
    <t>Customer 265</t>
  </si>
  <si>
    <t>ORD0372</t>
  </si>
  <si>
    <t>ORD0373</t>
  </si>
  <si>
    <t>Customer 64</t>
  </si>
  <si>
    <t>ORD0374</t>
  </si>
  <si>
    <t>ORD0375</t>
  </si>
  <si>
    <t>Customer 193</t>
  </si>
  <si>
    <t>ORD0376</t>
  </si>
  <si>
    <t>ORD0377</t>
  </si>
  <si>
    <t>ORD0378</t>
  </si>
  <si>
    <t>Customer 269</t>
  </si>
  <si>
    <t>ORD0379</t>
  </si>
  <si>
    <t>ORD0380</t>
  </si>
  <si>
    <t>ORD0381</t>
  </si>
  <si>
    <t>ORD0382</t>
  </si>
  <si>
    <t>ORD0383</t>
  </si>
  <si>
    <t>ORD0384</t>
  </si>
  <si>
    <t>ORD0385</t>
  </si>
  <si>
    <t>Customer 147</t>
  </si>
  <si>
    <t>ORD0386</t>
  </si>
  <si>
    <t>ORD0387</t>
  </si>
  <si>
    <t>Customer 299</t>
  </si>
  <si>
    <t>ORD0388</t>
  </si>
  <si>
    <t>Customer 102</t>
  </si>
  <si>
    <t>ORD0389</t>
  </si>
  <si>
    <t>ORD0390</t>
  </si>
  <si>
    <t>Customer 239</t>
  </si>
  <si>
    <t>ORD0391</t>
  </si>
  <si>
    <t>Customer 87</t>
  </si>
  <si>
    <t>ORD0392</t>
  </si>
  <si>
    <t>ORD0393</t>
  </si>
  <si>
    <t>ORD0394</t>
  </si>
  <si>
    <t>Customer 252</t>
  </si>
  <si>
    <t>ORD0395</t>
  </si>
  <si>
    <t>Customer 295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</si>
  <si>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</si>
  <si>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</si>
  <si>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</si>
  <si>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</si>
  <si>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</si>
  <si>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</si>
  <si>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</si>
  <si>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</si>
  <si>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</si>
  <si>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</si>
  <si>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</si>
  <si>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</si>
  <si>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</si>
  <si>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</si>
  <si>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</si>
  <si>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</si>
  <si>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</si>
  <si>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</si>
  <si>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Customer 98</t>
  </si>
  <si>
    <t>ORD0414</t>
  </si>
  <si>
    <t>ORD0415</t>
  </si>
  <si>
    <t>Customer 282</t>
  </si>
  <si>
    <t>ORD0416</t>
  </si>
  <si>
    <t>ORD0417</t>
  </si>
  <si>
    <t>ORD0418</t>
  </si>
  <si>
    <t>Customer 118</t>
  </si>
  <si>
    <t>ORD0419</t>
  </si>
  <si>
    <t>ORD0420</t>
  </si>
  <si>
    <t>ORD0421</t>
  </si>
  <si>
    <t>ORD0422</t>
  </si>
  <si>
    <t>ORD0423</t>
  </si>
  <si>
    <t>ORD0424</t>
  </si>
  <si>
    <t>ORD0425</t>
  </si>
  <si>
    <t>ORD0426</t>
  </si>
  <si>
    <t>ORD0427</t>
  </si>
  <si>
    <t>ORD0428</t>
  </si>
  <si>
    <t>ORD0429</t>
  </si>
  <si>
    <t>ORD0430</t>
  </si>
  <si>
    <t>ORD0431</t>
  </si>
  <si>
    <t>Customer 14</t>
  </si>
  <si>
    <t>ORD0432</t>
  </si>
  <si>
    <t>Customer 7</t>
  </si>
  <si>
    <t>ORD0433</t>
  </si>
  <si>
    <t>ORD0434</t>
  </si>
  <si>
    <t>ORD0435</t>
  </si>
  <si>
    <t>ORD0436</t>
  </si>
  <si>
    <t>ORD0437</t>
  </si>
  <si>
    <t>ORD0438</t>
  </si>
  <si>
    <t>ORD0439</t>
  </si>
  <si>
    <t>ORD0440</t>
  </si>
  <si>
    <t>Customer 105</t>
  </si>
  <si>
    <t>ORD0441</t>
  </si>
  <si>
    <t>ORD0442</t>
  </si>
  <si>
    <t>ORD0443</t>
  </si>
  <si>
    <t>Customer 231</t>
  </si>
  <si>
    <t>ORD0444</t>
  </si>
  <si>
    <t>ORD0445</t>
  </si>
  <si>
    <t>ORD0446</t>
  </si>
  <si>
    <t>ORD0447</t>
  </si>
  <si>
    <t>ORD0448</t>
  </si>
  <si>
    <t>Customer 195</t>
  </si>
  <si>
    <t>ORD0449</t>
  </si>
  <si>
    <t>Customer 298</t>
  </si>
  <si>
    <t>ORD0450</t>
  </si>
  <si>
    <t>ORD0451</t>
  </si>
  <si>
    <t>ORD0452</t>
  </si>
  <si>
    <t>ORD0453</t>
  </si>
  <si>
    <t>ORD0454</t>
  </si>
  <si>
    <t>ORD0455</t>
  </si>
  <si>
    <t>ORD0456</t>
  </si>
  <si>
    <t>Customer 93</t>
  </si>
  <si>
    <t>ORD0457</t>
  </si>
  <si>
    <t>ORD0458</t>
  </si>
  <si>
    <t>ORD0459</t>
  </si>
  <si>
    <t>ORD0460</t>
  </si>
  <si>
    <t>ORD0461</t>
  </si>
  <si>
    <t>ORD0462</t>
  </si>
  <si>
    <t>ORD0463</t>
  </si>
  <si>
    <t>ORD0464</t>
  </si>
  <si>
    <t>ORD0465</t>
  </si>
  <si>
    <t>ORD0466</t>
  </si>
  <si>
    <t>ORD0467</t>
  </si>
  <si>
    <t>ORD0468</t>
  </si>
  <si>
    <t>ORD0469</t>
  </si>
  <si>
    <t>ORD0470</t>
  </si>
  <si>
    <t>Customer 76</t>
  </si>
  <si>
    <t>ORD0471</t>
  </si>
  <si>
    <t>ORD0472</t>
  </si>
  <si>
    <t>ORD0473</t>
  </si>
  <si>
    <t>ORD0474</t>
  </si>
  <si>
    <t>ORD0475</t>
  </si>
  <si>
    <t>Customer 238</t>
  </si>
  <si>
    <t>ORD0476</t>
  </si>
  <si>
    <t>ORD0477</t>
  </si>
  <si>
    <t>ORD0478</t>
  </si>
  <si>
    <t>ORD0479</t>
  </si>
  <si>
    <t>Customer 219</t>
  </si>
  <si>
    <t>ORD0480</t>
  </si>
  <si>
    <t>ORD0481</t>
  </si>
  <si>
    <t>Customer 124</t>
  </si>
  <si>
    <t>ORD0482</t>
  </si>
  <si>
    <t>Customer 23</t>
  </si>
  <si>
    <t>ORD0483</t>
  </si>
  <si>
    <t>ORD0484</t>
  </si>
  <si>
    <t>ORD0485</t>
  </si>
  <si>
    <t>ORD0486</t>
  </si>
  <si>
    <t>ORD0487</t>
  </si>
  <si>
    <t>Customer 167</t>
  </si>
  <si>
    <t>ORD0488</t>
  </si>
  <si>
    <t>Customer 153</t>
  </si>
  <si>
    <t>ORD0489</t>
  </si>
  <si>
    <t>ORD0490</t>
  </si>
  <si>
    <t>Customer 103</t>
  </si>
  <si>
    <t>ORD0491</t>
  </si>
  <si>
    <t>ORD0492</t>
  </si>
  <si>
    <t>ORD0493</t>
  </si>
  <si>
    <t>Customer 297</t>
  </si>
  <si>
    <t>ORD0494</t>
  </si>
  <si>
    <t>ORD0495</t>
  </si>
  <si>
    <t>ORD0496</t>
  </si>
  <si>
    <t>ORD0497</t>
  </si>
  <si>
    <t>ORD0498</t>
  </si>
  <si>
    <t>ORD0499</t>
  </si>
  <si>
    <t>ORD0500</t>
  </si>
  <si>
    <t>ORD0501</t>
  </si>
  <si>
    <t>ORD0502</t>
  </si>
  <si>
    <t>ORD0503</t>
  </si>
  <si>
    <t>ORD0504</t>
  </si>
  <si>
    <t>Customer 120</t>
  </si>
  <si>
    <t>ORD0505</t>
  </si>
  <si>
    <t>ORD0506</t>
  </si>
  <si>
    <t>Customer 277</t>
  </si>
  <si>
    <t>ORD0507</t>
  </si>
  <si>
    <t>Customer 278</t>
  </si>
  <si>
    <t>ORD0508</t>
  </si>
  <si>
    <t>ORD0509</t>
  </si>
  <si>
    <t>ORD0510</t>
  </si>
  <si>
    <t>ORD0511</t>
  </si>
  <si>
    <t>ORD0512</t>
  </si>
  <si>
    <t>ORD0513</t>
  </si>
  <si>
    <t>ORD0514</t>
  </si>
  <si>
    <t>ORD0515</t>
  </si>
  <si>
    <t>Customer 10</t>
  </si>
  <si>
    <t>ORD0516</t>
  </si>
  <si>
    <t>ORD0517</t>
  </si>
  <si>
    <t>ORD0518</t>
  </si>
  <si>
    <t>Customer 133</t>
  </si>
  <si>
    <t>ORD0519</t>
  </si>
  <si>
    <t>ORD0520</t>
  </si>
  <si>
    <t>ORD0521</t>
  </si>
  <si>
    <t>ORD0522</t>
  </si>
  <si>
    <t>ORD0523</t>
  </si>
  <si>
    <t>ORD0524</t>
  </si>
  <si>
    <t>ORD0525</t>
  </si>
  <si>
    <t>ORD0526</t>
  </si>
  <si>
    <t>Customer 243</t>
  </si>
  <si>
    <t>ORD0527</t>
  </si>
  <si>
    <t>ORD0528</t>
  </si>
  <si>
    <t>ORD0529</t>
  </si>
  <si>
    <t>ORD0530</t>
  </si>
  <si>
    <t>Customer 141</t>
  </si>
  <si>
    <t>ORD0531</t>
  </si>
  <si>
    <t>ORD0532</t>
  </si>
  <si>
    <t>ORD0533</t>
  </si>
  <si>
    <t>ORD0534</t>
  </si>
  <si>
    <t>ORD0535</t>
  </si>
  <si>
    <t>Customer 89</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</si>
  <si>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</si>
  <si>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</si>
  <si>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</si>
  <si>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</si>
  <si>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</si>
  <si>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</si>
  <si>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</si>
  <si>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</si>
  <si>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</si>
  <si>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</si>
  <si>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</si>
  <si>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</si>
  <si>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</si>
  <si>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</si>
  <si>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</si>
  <si>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</si>
  <si>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</si>
  <si>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</si>
  <si>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</si>
  <si>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</si>
  <si>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</si>
  <si>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</si>
  <si>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</si>
  <si>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</si>
  <si>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</si>
  <si>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Customer 163</t>
  </si>
  <si>
    <t>ORD0561</t>
  </si>
  <si>
    <t>Customer 226</t>
  </si>
  <si>
    <t>ORD0562</t>
  </si>
  <si>
    <t>Customer 48</t>
  </si>
  <si>
    <t>ORD0563</t>
  </si>
  <si>
    <t>ORD0564</t>
  </si>
  <si>
    <t>ORD0565</t>
  </si>
  <si>
    <t>ORD0566</t>
  </si>
  <si>
    <t>ORD0567</t>
  </si>
  <si>
    <t>ORD0568</t>
  </si>
  <si>
    <t>ORD0569</t>
  </si>
  <si>
    <t>Customer 246</t>
  </si>
  <si>
    <t>ORD0570</t>
  </si>
  <si>
    <t>ORD0571</t>
  </si>
  <si>
    <t>ORD0572</t>
  </si>
  <si>
    <t>ORD0573</t>
  </si>
  <si>
    <t>ORD0574</t>
  </si>
  <si>
    <t>ORD0575</t>
  </si>
  <si>
    <t>Customer 15</t>
  </si>
  <si>
    <t>ORD0576</t>
  </si>
  <si>
    <t>ORD0577</t>
  </si>
  <si>
    <t>ORD0578</t>
  </si>
  <si>
    <t>ORD0579</t>
  </si>
  <si>
    <t>ORD0580</t>
  </si>
  <si>
    <t>ORD0581</t>
  </si>
  <si>
    <t>ORD0582</t>
  </si>
  <si>
    <t>ORD0583</t>
  </si>
  <si>
    <t>ORD0584</t>
  </si>
  <si>
    <t>ORD0585</t>
  </si>
  <si>
    <t>Customer 287</t>
  </si>
  <si>
    <t>ORD0586</t>
  </si>
  <si>
    <t>ORD0587</t>
  </si>
  <si>
    <t>ORD0588</t>
  </si>
  <si>
    <t>ORD0589</t>
  </si>
  <si>
    <t>ORD0590</t>
  </si>
  <si>
    <t>ORD0591</t>
  </si>
  <si>
    <t>Customer 123</t>
  </si>
  <si>
    <t>ORD0592</t>
  </si>
  <si>
    <t>ORD0593</t>
  </si>
  <si>
    <t>ORD0594</t>
  </si>
  <si>
    <t>ORD0595</t>
  </si>
  <si>
    <t>ORD0596</t>
  </si>
  <si>
    <t>Customer 22</t>
  </si>
  <si>
    <t>ORD0597</t>
  </si>
  <si>
    <t>ORD0598</t>
  </si>
  <si>
    <t>ORD0599</t>
  </si>
  <si>
    <t>Customer 94</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</si>
  <si>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</si>
  <si>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</si>
  <si>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</si>
  <si>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</si>
  <si>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</si>
  <si>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</si>
  <si>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</si>
  <si>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</si>
  <si>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</si>
  <si>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</si>
  <si>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</si>
  <si>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</si>
  <si>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</si>
  <si>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</si>
  <si>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</si>
  <si>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</si>
  <si>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</si>
  <si>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</si>
  <si>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</si>
  <si>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</si>
  <si>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</si>
  <si>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</si>
  <si>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Customer 20</t>
  </si>
  <si>
    <t>ORD0622</t>
  </si>
  <si>
    <t>ORD0623</t>
  </si>
  <si>
    <t>ORD0624</t>
  </si>
  <si>
    <t>ORD0625</t>
  </si>
  <si>
    <t>ORD0626</t>
  </si>
  <si>
    <t>ORD0627</t>
  </si>
  <si>
    <t>ORD0628</t>
  </si>
  <si>
    <t>ORD0629</t>
  </si>
  <si>
    <t>ORD0630</t>
  </si>
  <si>
    <t>ORD0631</t>
  </si>
  <si>
    <t>Customer 173</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</si>
  <si>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</si>
  <si>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</si>
  <si>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</si>
  <si>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</si>
  <si>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</si>
  <si>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</si>
  <si>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</si>
  <si>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</si>
  <si>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</si>
  <si>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</si>
  <si>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</si>
  <si>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</si>
  <si>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</si>
  <si>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</si>
  <si>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</si>
  <si>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</si>
  <si>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</si>
  <si>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</si>
  <si>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Customer 55</t>
  </si>
  <si>
    <t>ORD0650</t>
  </si>
  <si>
    <t>ORD0651</t>
  </si>
  <si>
    <t>ORD0652</t>
  </si>
  <si>
    <t>ORD0653</t>
  </si>
  <si>
    <t>ORD0654</t>
  </si>
  <si>
    <t>ORD0655</t>
  </si>
  <si>
    <t>ORD0656</t>
  </si>
  <si>
    <t>Customer 145</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</si>
  <si>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</si>
  <si>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</si>
  <si>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</si>
  <si>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</si>
  <si>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</si>
  <si>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</si>
  <si>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</si>
  <si>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</si>
  <si>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</si>
  <si>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</si>
  <si>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</si>
  <si>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</si>
  <si>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</si>
  <si>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</si>
  <si>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</si>
  <si>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</si>
  <si>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</si>
  <si>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</si>
  <si>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</si>
  <si>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</si>
  <si>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</si>
  <si>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Customer 187</t>
  </si>
  <si>
    <t>ORD0678</t>
  </si>
  <si>
    <t>Customer 171</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</si>
  <si>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</si>
  <si>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</si>
  <si>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</si>
  <si>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</si>
  <si>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</si>
  <si>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</si>
  <si>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</si>
  <si>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</si>
  <si>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</si>
  <si>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</si>
  <si>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</si>
  <si>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</si>
  <si>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</si>
  <si>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</si>
  <si>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</si>
  <si>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</si>
  <si>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</si>
  <si>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</si>
  <si>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</si>
  <si>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</si>
  <si>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</si>
  <si>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</si>
  <si>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</si>
  <si>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Customer 293</t>
  </si>
  <si>
    <t>ORD0702</t>
  </si>
  <si>
    <t>Customer 197</t>
  </si>
  <si>
    <t>ORD0703</t>
  </si>
  <si>
    <t>ORD0704</t>
  </si>
  <si>
    <t>ORD0705</t>
  </si>
  <si>
    <t>ORD0706</t>
  </si>
  <si>
    <t>ORD0707</t>
  </si>
  <si>
    <t>ORD0708</t>
  </si>
  <si>
    <t>Customer 227</t>
  </si>
  <si>
    <t>ORD0709</t>
  </si>
  <si>
    <t>ORD0710</t>
  </si>
  <si>
    <t>ORD0711</t>
  </si>
  <si>
    <t>ORD0712</t>
  </si>
  <si>
    <t>ORD0713</t>
  </si>
  <si>
    <t>ORD0714</t>
  </si>
  <si>
    <t>ORD0715</t>
  </si>
  <si>
    <t>ORD0716</t>
  </si>
  <si>
    <t>ORD0717</t>
  </si>
  <si>
    <t>ORD0718</t>
  </si>
  <si>
    <t>ORD0719</t>
  </si>
  <si>
    <t>ORD0720</t>
  </si>
  <si>
    <t>ORD0721</t>
  </si>
  <si>
    <t>Customer 108</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</si>
  <si>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</si>
  <si>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</si>
  <si>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</si>
  <si>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</si>
  <si>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</si>
  <si>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</si>
  <si>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</si>
  <si>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</si>
  <si>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</si>
  <si>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</si>
  <si>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</si>
  <si>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</si>
  <si>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</si>
  <si>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</si>
  <si>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</si>
  <si>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</si>
  <si>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</si>
  <si>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</si>
  <si>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Customer 21</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</si>
  <si>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</si>
  <si>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</si>
  <si>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</si>
  <si>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</si>
  <si>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</si>
  <si>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</si>
  <si>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</si>
  <si>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</si>
  <si>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</si>
  <si>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</si>
  <si>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</si>
  <si>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</si>
  <si>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</si>
  <si>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</si>
  <si>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</si>
  <si>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</si>
  <si>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</si>
  <si>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</si>
  <si>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</si>
  <si>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</si>
  <si>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</si>
  <si>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</si>
  <si>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</si>
  <si>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</si>
  <si>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Customer 202</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</si>
  <si>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</si>
  <si>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</si>
  <si>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</si>
  <si>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</si>
  <si>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</si>
  <si>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</si>
  <si>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</si>
  <si>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</si>
  <si>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</si>
  <si>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</si>
  <si>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</si>
  <si>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</si>
  <si>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</si>
  <si>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</si>
  <si>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</si>
  <si>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</si>
  <si>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</si>
  <si>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Customer 200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</si>
  <si>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</si>
  <si>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</si>
  <si>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</si>
  <si>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</si>
  <si>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</si>
  <si>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</si>
  <si>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</si>
  <si>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</si>
  <si>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</si>
  <si>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</si>
  <si>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</si>
  <si>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</si>
  <si>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</si>
  <si>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</si>
  <si>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</si>
  <si>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</si>
  <si>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</si>
  <si>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</si>
  <si>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</si>
  <si>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</si>
  <si>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</si>
  <si>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</si>
  <si>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</si>
  <si>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</si>
  <si>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</si>
  <si>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</si>
  <si>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</si>
  <si>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</si>
  <si>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</si>
  <si>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</si>
  <si>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</si>
  <si>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</si>
  <si>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</si>
  <si>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</si>
  <si>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</si>
  <si>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</si>
  <si>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Customer 2</t>
  </si>
  <si>
    <t>ORD0817</t>
  </si>
  <si>
    <t>ORD0818</t>
  </si>
  <si>
    <t>ORD0819</t>
  </si>
  <si>
    <t>ORD0820</t>
  </si>
  <si>
    <t>ORD0821</t>
  </si>
  <si>
    <t>ORD0822</t>
  </si>
  <si>
    <t>ORD0823</t>
  </si>
  <si>
    <t>ORD0824</t>
  </si>
  <si>
    <t>Customer 116</t>
  </si>
  <si>
    <t>ORD0825</t>
  </si>
  <si>
    <t>ORD0826</t>
  </si>
  <si>
    <t>ORD0827</t>
  </si>
  <si>
    <t>ORD0828</t>
  </si>
  <si>
    <t>ORD0829</t>
  </si>
  <si>
    <t>ORD0830</t>
  </si>
  <si>
    <t>ORD0831</t>
  </si>
  <si>
    <t>ORD0832</t>
  </si>
  <si>
    <t>ORD0833</t>
  </si>
  <si>
    <t>ORD0834</t>
  </si>
  <si>
    <t>ORD0835</t>
  </si>
  <si>
    <t>ORD0836</t>
  </si>
  <si>
    <t>ORD0837</t>
  </si>
  <si>
    <t>Customer 207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</si>
  <si>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</si>
  <si>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</si>
  <si>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</si>
  <si>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</si>
  <si>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</si>
  <si>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</si>
  <si>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</si>
  <si>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</si>
  <si>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</si>
  <si>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</si>
  <si>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</si>
  <si>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</si>
  <si>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</si>
  <si>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</si>
  <si>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</si>
  <si>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</si>
  <si>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</si>
  <si>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</si>
  <si>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</si>
  <si>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Customer 130</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</si>
  <si>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</si>
  <si>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</si>
  <si>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</si>
  <si>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</si>
  <si>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</si>
  <si>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</si>
  <si>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</si>
  <si>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</si>
  <si>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</si>
  <si>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</si>
  <si>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</si>
  <si>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</si>
  <si>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</si>
  <si>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</si>
  <si>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</si>
  <si>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</si>
  <si>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</si>
  <si>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</si>
  <si>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</si>
  <si>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</si>
  <si>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</si>
  <si>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</si>
  <si>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</si>
  <si>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</si>
  <si>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</si>
  <si>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</si>
  <si>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Customer 230</t>
  </si>
  <si>
    <t>ORD0883</t>
  </si>
  <si>
    <t>ORD0884</t>
  </si>
  <si>
    <t>ORD0885</t>
  </si>
  <si>
    <t>ORD0886</t>
  </si>
  <si>
    <t>ORD0887</t>
  </si>
  <si>
    <t>ORD0888</t>
  </si>
  <si>
    <t>ORD0889</t>
  </si>
  <si>
    <t>Customer 115</t>
  </si>
  <si>
    <t>ORD0890</t>
  </si>
  <si>
    <t>ORD0891</t>
  </si>
  <si>
    <t>ORD0892</t>
  </si>
  <si>
    <t>Customer 210</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</si>
  <si>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</si>
  <si>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</si>
  <si>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</si>
  <si>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</si>
  <si>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</si>
  <si>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</si>
  <si>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</si>
  <si>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</si>
  <si>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</si>
  <si>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</si>
  <si>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</si>
  <si>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</si>
  <si>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</si>
  <si>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</si>
  <si>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</si>
  <si>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</si>
  <si>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</si>
  <si>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</si>
  <si>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</si>
  <si>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</si>
  <si>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</si>
  <si>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</si>
  <si>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</si>
  <si>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</si>
  <si>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</si>
  <si>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</si>
  <si>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</si>
  <si>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</si>
  <si>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</si>
  <si>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</si>
  <si>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</si>
  <si>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</si>
  <si>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Customer 58</t>
  </si>
  <si>
    <t>ORD0925</t>
  </si>
  <si>
    <t>ORD0926</t>
  </si>
  <si>
    <t>ORD0927</t>
  </si>
  <si>
    <t>ORD0928</t>
  </si>
  <si>
    <t>ORD0929</t>
  </si>
  <si>
    <t>Customer 241</t>
  </si>
  <si>
    <t>ORD0930</t>
  </si>
  <si>
    <t>ORD0931</t>
  </si>
  <si>
    <t>ORD0932</t>
  </si>
  <si>
    <t>Customer 218</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</si>
  <si>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</si>
  <si>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</si>
  <si>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</si>
  <si>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</si>
  <si>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</si>
  <si>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</si>
  <si>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</si>
  <si>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</si>
  <si>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</si>
  <si>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</si>
  <si>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</si>
  <si>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</si>
  <si>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</si>
  <si>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</si>
  <si>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</si>
  <si>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</si>
  <si>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</si>
  <si>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Customer 79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</si>
  <si>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</si>
  <si>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</si>
  <si>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</si>
  <si>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</si>
  <si>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</si>
  <si>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</si>
  <si>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</si>
  <si>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</si>
  <si>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</si>
  <si>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</si>
  <si>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</si>
  <si>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</si>
  <si>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</si>
  <si>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</si>
  <si>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</si>
  <si>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</si>
  <si>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</si>
  <si>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</si>
  <si>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</si>
  <si>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</si>
  <si>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</si>
  <si>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</si>
  <si>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</si>
  <si>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</si>
  <si>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</si>
  <si>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Customer 225</t>
  </si>
  <si>
    <t>ORD0975</t>
  </si>
  <si>
    <t>ORD0976</t>
  </si>
  <si>
    <t>ORD0977</t>
  </si>
  <si>
    <t>ORD0978</t>
  </si>
  <si>
    <t>ORD0979</t>
  </si>
  <si>
    <t>ORD0980</t>
  </si>
  <si>
    <t>ORD0981</t>
  </si>
  <si>
    <t>Customer 11</t>
  </si>
  <si>
    <t>ORD0982</t>
  </si>
  <si>
    <t>ORD0983</t>
  </si>
  <si>
    <t>ORD0984</t>
  </si>
  <si>
    <t>ORD0985</t>
  </si>
  <si>
    <t>ORD0986</t>
  </si>
  <si>
    <t>Customer 143</t>
  </si>
  <si>
    <t>ORD0987</t>
  </si>
  <si>
    <t>ORD0988</t>
  </si>
  <si>
    <t>ORD0989</t>
  </si>
  <si>
    <t>ORD0990</t>
  </si>
  <si>
    <t>ORD0991</t>
  </si>
  <si>
    <t>ORD0992</t>
  </si>
  <si>
    <t>ORD0993</t>
  </si>
  <si>
    <t>ORD0994</t>
  </si>
  <si>
    <t>ORD0995</t>
  </si>
  <si>
    <t>ORD0996</t>
  </si>
  <si>
    <t>ORD0997</t>
  </si>
  <si>
    <t>ORD0998</t>
  </si>
  <si>
    <t>Customer 125</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</si>
  <si>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</si>
  <si>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</si>
  <si>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</si>
  <si>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</si>
  <si>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</si>
  <si>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</si>
  <si>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</si>
  <si>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</si>
  <si>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</si>
  <si>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</si>
  <si>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</si>
  <si>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</si>
  <si>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</si>
  <si>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</si>
  <si>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</si>
  <si>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</si>
  <si>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</si>
  <si>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</si>
  <si>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</si>
  <si>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Customer 41</t>
  </si>
  <si>
    <t>ORD1018</t>
  </si>
  <si>
    <t>ORD1019</t>
  </si>
  <si>
    <t>ORD1020</t>
  </si>
  <si>
    <t>ORD1021</t>
  </si>
  <si>
    <t>ORD1022</t>
  </si>
  <si>
    <t>ORD1023</t>
  </si>
  <si>
    <t>ORD1024</t>
  </si>
  <si>
    <t>ORD1025</t>
  </si>
  <si>
    <t>ORD1026</t>
  </si>
  <si>
    <t>ORD1027</t>
  </si>
  <si>
    <t>ORD1028</t>
  </si>
  <si>
    <t>ORD1029</t>
  </si>
  <si>
    <t>ORD1030</t>
  </si>
  <si>
    <t>ORD1031</t>
  </si>
  <si>
    <t>Customer 106</t>
  </si>
  <si>
    <t>ORD1032</t>
  </si>
  <si>
    <t>ORD1033</t>
  </si>
  <si>
    <t>ORD1034</t>
  </si>
  <si>
    <t>ORD1035</t>
  </si>
  <si>
    <t>ORD1036</t>
  </si>
  <si>
    <t>ORD1037</t>
  </si>
  <si>
    <t>ORD1038</t>
  </si>
  <si>
    <t>ORD1039</t>
  </si>
  <si>
    <t>ORD1040</t>
  </si>
  <si>
    <t>ORD1041</t>
  </si>
  <si>
    <t>Customer 274</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</si>
  <si>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</si>
  <si>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</si>
  <si>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</si>
  <si>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</si>
  <si>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</si>
  <si>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</si>
  <si>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</si>
  <si>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</si>
  <si>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</si>
  <si>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</si>
  <si>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</si>
  <si>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</si>
  <si>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</si>
  <si>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</si>
  <si>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</si>
  <si>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</si>
  <si>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</si>
  <si>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</si>
  <si>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</si>
  <si>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</si>
  <si>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</si>
  <si>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</si>
  <si>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</si>
  <si>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</si>
  <si>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</si>
  <si>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</si>
  <si>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</si>
  <si>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</si>
  <si>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</si>
  <si>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</si>
  <si>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</si>
  <si>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Customer 126</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</si>
  <si>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</si>
  <si>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</si>
  <si>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</si>
  <si>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</si>
  <si>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</si>
  <si>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</si>
  <si>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</si>
  <si>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</si>
  <si>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</si>
  <si>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</si>
  <si>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</si>
  <si>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</si>
  <si>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</si>
  <si>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</si>
  <si>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</si>
  <si>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</si>
  <si>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</si>
  <si>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Customer 275</t>
  </si>
  <si>
    <t>ORD1090</t>
  </si>
  <si>
    <t>ORD1091</t>
  </si>
  <si>
    <t>ORD1092</t>
  </si>
  <si>
    <t>ORD1093</t>
  </si>
  <si>
    <t>ORD1094</t>
  </si>
  <si>
    <t>ORD1095</t>
  </si>
  <si>
    <t>ORD1096</t>
  </si>
  <si>
    <t>ORD1097</t>
  </si>
  <si>
    <t>ORD1098</t>
  </si>
  <si>
    <t>ORD1099</t>
  </si>
  <si>
    <t>ORD1100</t>
  </si>
  <si>
    <t>ORD1101</t>
  </si>
  <si>
    <t>ORD1102</t>
  </si>
  <si>
    <t>ORD1103</t>
  </si>
  <si>
    <t>Customer 262</t>
  </si>
  <si>
    <t>ORD1104</t>
  </si>
  <si>
    <t>ORD1105</t>
  </si>
  <si>
    <t>ORD1106</t>
  </si>
  <si>
    <t>ORD1107</t>
  </si>
  <si>
    <t>ORD1108</t>
  </si>
  <si>
    <t>ORD1109</t>
  </si>
  <si>
    <t>ORD1110</t>
  </si>
  <si>
    <t>ORD1111</t>
  </si>
  <si>
    <t>ORD1112</t>
  </si>
  <si>
    <t>ORD1113</t>
  </si>
  <si>
    <t>ORD1114</t>
  </si>
  <si>
    <t>ORD1115</t>
  </si>
  <si>
    <t>ORD1116</t>
  </si>
  <si>
    <t>ORD1117</t>
  </si>
  <si>
    <t>ORD1118</t>
  </si>
  <si>
    <t>ORD1119</t>
  </si>
  <si>
    <t>Customer 139</t>
  </si>
  <si>
    <t>ORD1120</t>
  </si>
  <si>
    <t>ORD1121</t>
  </si>
  <si>
    <t>ORD1122</t>
  </si>
  <si>
    <t>ORD1123</t>
  </si>
  <si>
    <t>ORD1124</t>
  </si>
  <si>
    <t>ORD1125</t>
  </si>
  <si>
    <t>ORD1126</t>
  </si>
  <si>
    <t>ORD1127</t>
  </si>
  <si>
    <t>ORD1128</t>
  </si>
  <si>
    <t>ORD1129</t>
  </si>
  <si>
    <t>Customer 66</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</si>
  <si>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</si>
  <si>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</si>
  <si>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</si>
  <si>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</si>
  <si>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</si>
  <si>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</si>
  <si>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</si>
  <si>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</si>
  <si>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</si>
  <si>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</si>
  <si>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</si>
  <si>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</si>
  <si>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</si>
  <si>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</si>
  <si>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</si>
  <si>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</si>
  <si>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</si>
  <si>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</si>
  <si>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</si>
  <si>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</si>
  <si>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</si>
  <si>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</si>
  <si>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</si>
  <si>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</si>
  <si>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</si>
  <si>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Customer 256</t>
  </si>
  <si>
    <t>ORD1155</t>
  </si>
  <si>
    <t>ORD1156</t>
  </si>
  <si>
    <t>ORD1157</t>
  </si>
  <si>
    <t>ORD1158</t>
  </si>
  <si>
    <t>ORD1159</t>
  </si>
  <si>
    <t>ORD1160</t>
  </si>
  <si>
    <t>ORD1161</t>
  </si>
  <si>
    <t>ORD1162</t>
  </si>
  <si>
    <t>ORD1163</t>
  </si>
  <si>
    <t>ORD1164</t>
  </si>
  <si>
    <t>Customer 224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</si>
  <si>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</si>
  <si>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</si>
  <si>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</si>
  <si>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</si>
  <si>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</si>
  <si>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</si>
  <si>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</si>
  <si>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</si>
  <si>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</si>
  <si>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</si>
  <si>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</si>
  <si>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</si>
  <si>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</si>
  <si>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</si>
  <si>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</si>
  <si>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</si>
  <si>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</si>
  <si>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</si>
  <si>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</si>
  <si>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</si>
  <si>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</si>
  <si>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</si>
  <si>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</si>
  <si>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</si>
  <si>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</si>
  <si>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</si>
  <si>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</si>
  <si>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</si>
  <si>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</si>
  <si>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</si>
  <si>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</si>
  <si>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</si>
  <si>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</si>
  <si>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</si>
  <si>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</si>
  <si>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</si>
  <si>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Customer 80</t>
  </si>
  <si>
    <t>Row Labels</t>
  </si>
  <si>
    <t>Sum of Profit</t>
  </si>
  <si>
    <t>Grand Total</t>
  </si>
  <si>
    <t>Sum of Cost</t>
  </si>
  <si>
    <t>Sum of Total Sales</t>
  </si>
  <si>
    <t>Sum of Quantity</t>
  </si>
  <si>
    <t>Totel Profit:</t>
  </si>
  <si>
    <t>Total Sales:</t>
  </si>
  <si>
    <t>Total Cost:</t>
  </si>
  <si>
    <t>Total  Order:</t>
  </si>
  <si>
    <t>Sales Insights &amp;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</si>
</sst>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quot;$&quot;* #,##0.0_);_(&quot;$&quot;* \(#,##0.0\);_(&quot;$&quot;* &quot;-&quot;??_);_(@_)"/>
  </numFmts>
  <fonts count="5" x14ac:knownFonts="1">
    <font>
      <sz val="11"/>
      <color theme="1"/>
      <name val="Calibri"/>
      <family val="2"/>
      <scheme val="minor"/>
    </font>
    <font>
      <sz val="11"/>
      <color theme="1"/>
      <name val="Calibri"/>
      <family val="2"/>
      <scheme val="minor"/>
    </font>
    <font>
      <sz val="14"/>
      <color theme="1"/>
      <name val="Calibri"/>
      <family val="2"/>
      <scheme val="minor"/>
    </font>
    <font>
      <b/>
      <sz val="16"/>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2" fillId="0" borderId="0" xfId="0" applyFont="1"/>
    <xf numFmtId="164" fontId="0" fillId="0" borderId="0" xfId="1" applyNumberFormat="1" applyFont="1"/>
    <xf numFmtId="164" fontId="2" fillId="0" borderId="0" xfId="1" applyNumberFormat="1" applyFon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4" fillId="3" borderId="0" xfId="0" applyFont="1" applyFill="1" applyAlignment="1">
      <alignment horizontal="left" vertical="center" indent="40"/>
    </xf>
    <xf numFmtId="0" fontId="3" fillId="2" borderId="1" xfId="0" applyFont="1" applyFill="1" applyBorder="1" applyAlignment="1">
      <alignment horizontal="center" vertical="center"/>
    </xf>
    <xf numFmtId="164" fontId="3" fillId="2" borderId="1" xfId="1" applyNumberFormat="1" applyFont="1" applyFill="1" applyBorder="1" applyAlignment="1">
      <alignment horizontal="center" vertical="center"/>
    </xf>
    <xf numFmtId="44" fontId="3" fillId="2" borderId="1" xfId="1" applyFont="1" applyFill="1" applyBorder="1" applyAlignment="1">
      <alignment horizontal="center" vertical="center"/>
    </xf>
  </cellXfs>
  <cellStyles count="2">
    <cellStyle name="Currency" xfId="1" builtinId="4"/>
    <cellStyle name="Normal" xfId="0" builtinId="0"/>
  </cellStyles>
  <dxfs count="7">
    <dxf>
      <numFmt numFmtId="165" formatCode="_(&quot;$&quot;* #,##0_);_(&quot;$&quot;* \(#,##0\);_(&quot;$&quot;* &quot;-&quot;??_);_(@_)"/>
    </dxf>
    <dxf>
      <numFmt numFmtId="14" formatCode="0.00%"/>
    </dxf>
    <dxf>
      <numFmt numFmtId="164" formatCode="_(&quot;$&quot;* #,##0.0_);_(&quot;$&quot;* \(#,##0.0\);_(&quot;$&quot;* &quot;-&quot;??_);_(@_)"/>
    </dxf>
    <dxf>
      <numFmt numFmtId="164" formatCode="_(&quot;$&quot;* #,##0.0_);_(&quot;$&quot;* \(#,##0.0\);_(&quot;$&quot;* &quot;-&quot;??_);_(@_)"/>
    </dxf>
    <dxf>
      <numFmt numFmtId="164" formatCode="_(&quot;$&quot;* #,##0.0_);_(&quot;$&quot;* \(#,##0.0\);_(&quot;$&quot;* &quot;-&quot;??_);_(@_)"/>
    </dxf>
    <dxf>
      <numFmt numFmtId="164" formatCode="_(&quot;$&quot;* #,##0.0_);_(&quot;$&quot;* \(#,##0.0\);_(&quot;$&quot;* &quot;-&quot;??_);_(@_)"/>
    </dxf>
    <dxf>
      <font>
        <strike val="0"/>
        <outline val="0"/>
        <shadow val="0"/>
        <u val="none"/>
        <vertAlign val="baseline"/>
        <sz val="14"/>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[Sales Data Analysis in Excel Dashboard.xlsx]Sheet6!PivotTable5</c:name>
    <c:fmtId val="1"/>
  </c:pivotSource>
  <c:chart>
    <c:title>
      <c:tx>
        <c:rich>
          <a:bodyPr/>
          <a:lstStyle/>
          <a:p>
            <a:pPr>
              <a:defRPr/>
            </a:pPr>
            <a:r>
              <a:rPr lang="en-US"/>
              <a:t>Total Sales by Payment Method</a:t>
            </a:r>
          </a:p>
        </c:rich>
      </c:tx>
      <c:layout/>
      <c:overlay val="0"/>
    </c:title>
    <c:autoTitleDeleted val="0"/>
    <c:pivotFmts>
      <c:pivotFmt>
        <c:idx val="0"/>
      </c:pivotFmt>
      <c:pivotFmt>
        <c:idx val="1"/>
      </c:pivotFmt>
      <c:pivotFmt>
        <c:idx val="2"/>
      </c:pivotFmt>
    </c:pivotFmts>
    <c:plotArea>
      <c:layout/>
      <c:barChart>
        <c:barDir val="col"/>
        <c:grouping val="clustered"/>
        <c:varyColors val="0"/>
        <c:ser>
          <c:idx val="0"/>
          <c:order val="0"/>
          <c:tx>
            <c:strRef>
              <c:f>Sheet6!$B$1</c:f>
              <c:strCache>
                <c:ptCount val="1"/>
                <c:pt idx="0">
                  <c:v>Total</c:v>
                </c:pt>
              </c:strCache>
            </c:strRef>
          </c:tx>
          <c:invertIfNegative val="0"/>
          <c:cat>
            <c:strRef>
              <c:f>Sheet6!$A$2:$A$6</c:f>
              <c:strCache>
                <c:ptCount val="4"/>
                <c:pt idx="0">
                  <c:v>bKash</c:v>
                </c:pt>
                <c:pt idx="1">
                  <c:v>Card</c:v>
                </c:pt>
                <c:pt idx="2">
                  <c:v>Cash</c:v>
                </c:pt>
                <c:pt idx="3">
                  <c:v>Nagad</c:v>
                </c:pt>
              </c:strCache>
            </c:strRef>
          </c:cat>
          <c:val>
            <c:numRef>
              <c:f>Sheet6!$B$2:$B$6</c:f>
              <c:numCache>
                <c:formatCode>0.00%</c:formatCode>
                <c:ptCount val="4"/>
                <c:pt idx="0">
                  <c:v>0.2499404022216023</c:v>
                </c:pt>
                <c:pt idx="1">
                  <c:v>0.22168344703405948</c:v>
                </c:pt>
                <c:pt idx="2">
                  <c:v>0.24863685932388221</c:v>
                </c:pt>
                <c:pt idx="3">
                  <c:v>0.279739291420456</c:v>
                </c:pt>
              </c:numCache>
            </c:numRef>
          </c:val>
        </c:ser>
        <c:dLbls>
          <c:showLegendKey val="0"/>
          <c:showVal val="0"/>
          <c:showCatName val="0"/>
          <c:showSerName val="0"/>
          <c:showPercent val="0"/>
          <c:showBubbleSize val="0"/>
        </c:dLbls>
        <c:gapWidth val="150"/>
        <c:axId val="139540352"/>
        <c:axId val="139541888"/>
      </c:barChart>
      <c:catAx>
        <c:axId val="139540352"/>
        <c:scaling>
          <c:orientation val="minMax"/>
        </c:scaling>
        <c:delete val="0"/>
        <c:axPos val="b"/>
        <c:majorTickMark val="out"/>
        <c:minorTickMark val="none"/>
        <c:tickLblPos val="nextTo"/>
        <c:crossAx val="139541888"/>
        <c:crosses val="autoZero"/>
        <c:auto val="1"/>
        <c:lblAlgn val="ctr"/>
        <c:lblOffset val="100"/>
        <c:noMultiLvlLbl val="0"/>
      </c:catAx>
      <c:valAx>
        <c:axId val="139541888"/>
        <c:scaling>
          <c:orientation val="minMax"/>
        </c:scaling>
        <c:delete val="0"/>
        <c:axPos val="l"/>
        <c:majorGridlines/>
        <c:numFmt formatCode="0.00%" sourceLinked="1"/>
        <c:majorTickMark val="out"/>
        <c:minorTickMark val="none"/>
        <c:tickLblPos val="nextTo"/>
        <c:crossAx val="139540352"/>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[Sales Data Analysis in Excel Dashboard.xlsx]Sheet3!PivotTable3</c:name>
    <c:fmtId val="1"/>
  </c:pivotSource>
  <c:chart>
    <c:autoTitleDeleted val="1"/>
    <c:pivotFmts>
      <c:pivotFmt>
        <c:idx val="0"/>
      </c:pivotFmt>
      <c:pivotFmt>
        <c:idx val="1"/>
        <c:dLbl>
          <c:idx val="0"/>
          <c:layout/>
          <c:showLegendKey val="0"/>
          <c:showVal val="0"/>
          <c:showCatName val="1"/>
          <c:showSerName val="0"/>
          <c:showPercent val="1"/>
          <c:showBubbleSize val="0"/>
        </c:dLbl>
      </c:pivotFmt>
      <c:pivotFmt>
        <c:idx val="2"/>
      </c:pivotFmt>
      <c:pivotFmt>
        <c:idx val="3"/>
        <c:spPr>
          <a:noFill/>
        </c:spPr>
        <c:dLbl>
          <c:idx val="0"/>
          <c:layout/>
          <c:tx>
            <c:rich>
              <a:bodyPr/>
              <a:lstStyle/>
              <a:p>
                <a:r>
                  <a:rPr lang="en-US" sz="1100" b="1"/>
                  <a:t>West
23%</a:t>
                </a:r>
                <a:endParaRPr lang="en-US" sz="1050" b="1"/>
              </a:p>
            </c:rich>
          </c:tx>
          <c:showLegendKey val="0"/>
          <c:showVal val="0"/>
          <c:showCatName val="1"/>
          <c:showSerName val="0"/>
          <c:showPercent val="1"/>
          <c:showBubbleSize val="0"/>
        </c:dLbl>
      </c:pivotFmt>
      <c:pivotFmt>
        <c:idx val="4"/>
      </c:pivotFmt>
      <c:pivotFmt>
        <c:idx val="5"/>
      </c:pivotFmt>
    </c:pivotFmts>
    <c:plotArea>
      <c:layout>
        <c:manualLayout>
          <c:layoutTarget val="inner"/>
          <c:xMode val="edge"/>
          <c:yMode val="edge"/>
          <c:x val="0.51180555555555551"/>
          <c:y val="0.15972222222222221"/>
          <c:w val="0.48472222222222222"/>
          <c:h val="0.80787037037037035"/>
        </c:manualLayout>
      </c:layout>
      <c:pieChart>
        <c:varyColors val="1"/>
        <c:ser>
          <c:idx val="0"/>
          <c:order val="0"/>
          <c:tx>
            <c:strRef>
              <c:f>Sheet3!$B$1</c:f>
              <c:strCache>
                <c:ptCount val="1"/>
                <c:pt idx="0">
                  <c:v>Total</c:v>
                </c:pt>
              </c:strCache>
            </c:strRef>
          </c:tx>
          <c:dPt>
            <c:idx val="3"/>
            <c:bubble3D val="0"/>
            <c:spPr>
              <a:noFill/>
            </c:spPr>
          </c:dPt>
          <c:dLbls>
            <c:dLbl>
              <c:idx val="3"/>
              <c:layout/>
              <c:tx>
                <c:rich>
                  <a:bodyPr/>
                  <a:lstStyle/>
                  <a:p>
                    <a:r>
                      <a:rPr lang="en-US" sz="1100" b="1"/>
                      <a:t>West
23%</a:t>
                    </a:r>
                    <a:endParaRPr lang="en-US" sz="1050" b="1"/>
                  </a:p>
                </c:rich>
              </c:tx>
              <c:showLegendKey val="0"/>
              <c:showVal val="0"/>
              <c:showCatName val="1"/>
              <c:showSerName val="0"/>
              <c:showPercent val="1"/>
              <c:showBubbleSize val="0"/>
            </c:dLbl>
            <c:spPr/>
            <c:txPr>
              <a:bodyPr/>
              <a:lstStyle/>
              <a:p>
                <a:pPr>
                  <a:defRPr/>
                </a:pPr>
                <a:endParaRPr lang="en-US"/>
              </a:p>
            </c:txPr>
            <c:showLegendKey val="0"/>
            <c:showVal val="0"/>
            <c:showCatName val="1"/>
            <c:showSerName val="0"/>
            <c:showPercent val="1"/>
            <c:showBubbleSize val="0"/>
            <c:showLeaderLines val="1"/>
          </c:dLbls>
          <c:cat>
            <c:strRef>
              <c:f>Sheet3!$A$2:$A$6</c:f>
              <c:strCache>
                <c:ptCount val="4"/>
                <c:pt idx="0">
                  <c:v>East</c:v>
                </c:pt>
                <c:pt idx="1">
                  <c:v>North</c:v>
                </c:pt>
                <c:pt idx="2">
                  <c:v>South</c:v>
                </c:pt>
                <c:pt idx="3">
                  <c:v>West</c:v>
                </c:pt>
              </c:strCache>
            </c:strRef>
          </c:cat>
          <c:val>
            <c:numRef>
              <c:f>Sheet3!$B$2:$B$6</c:f>
              <c:numCache>
                <c:formatCode>0.00%</c:formatCode>
                <c:ptCount val="4"/>
                <c:pt idx="0">
                  <c:v>0.23723973523369937</c:v>
                </c:pt>
                <c:pt idx="1">
                  <c:v>0.26327508812862976</c:v>
                </c:pt>
                <c:pt idx="2">
                  <c:v>0.26911313433592859</c:v>
                </c:pt>
                <c:pt idx="3">
                  <c:v>0.2303720423017423</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spPr>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[Sales Data Analysis in Excel Dashboard.xlsx]Sheet4!PivotTable4</c:name>
    <c:fmtId val="1"/>
  </c:pivotSource>
  <c:chart>
    <c:title>
      <c:tx>
        <c:rich>
          <a:bodyPr/>
          <a:lstStyle/>
          <a:p>
            <a:pPr>
              <a:defRPr/>
            </a:pPr>
            <a:r>
              <a:rPr lang="en-US"/>
              <a:t>Sales Quantity</a:t>
            </a:r>
            <a:r>
              <a:rPr lang="en-US" baseline="0"/>
              <a:t> by Region</a:t>
            </a:r>
            <a:endParaRPr lang="en-US"/>
          </a:p>
        </c:rich>
      </c:tx>
      <c:layout/>
      <c:overlay val="0"/>
    </c:title>
    <c:autoTitleDeleted val="0"/>
    <c:pivotFmts>
      <c:pivotFmt>
        <c:idx val="0"/>
      </c:pivotFmt>
      <c:pivotFmt>
        <c:idx val="1"/>
      </c:pivotFmt>
      <c:pivotFmt>
        <c:idx val="2"/>
      </c:pivotFmt>
    </c:pivotFmts>
    <c:plotArea>
      <c:layout/>
      <c:doughnutChart>
        <c:varyColors val="1"/>
        <c:ser>
          <c:idx val="0"/>
          <c:order val="0"/>
          <c:tx>
            <c:strRef>
              <c:f>Sheet4!$B$1</c:f>
              <c:strCache>
                <c:ptCount val="1"/>
                <c:pt idx="0">
                  <c:v>Total</c:v>
                </c:pt>
              </c:strCache>
            </c:strRef>
          </c:tx>
          <c:explosion val="25"/>
          <c:cat>
            <c:strRef>
              <c:f>Sheet4!$A$2:$A$6</c:f>
              <c:strCache>
                <c:ptCount val="4"/>
                <c:pt idx="0">
                  <c:v>East</c:v>
                </c:pt>
                <c:pt idx="1">
                  <c:v>North</c:v>
                </c:pt>
                <c:pt idx="2">
                  <c:v>South</c:v>
                </c:pt>
                <c:pt idx="3">
                  <c:v>West</c:v>
                </c:pt>
              </c:strCache>
            </c:strRef>
          </c:cat>
          <c:val>
            <c:numRef>
              <c:f>Sheet4!$B$2:$B$6</c:f>
              <c:numCache>
                <c:formatCode>0.00%</c:formatCode>
                <c:ptCount val="4"/>
                <c:pt idx="0">
                  <c:v>0.23657111049262455</c:v>
                </c:pt>
                <c:pt idx="1">
                  <c:v>0.25939326468132479</c:v>
                </c:pt>
                <c:pt idx="2">
                  <c:v>0.27581408293904813</c:v>
                </c:pt>
                <c:pt idx="3">
                  <c:v>0.2282215418870025</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1"/>
    </mc:Choice>
    <mc:Fallback>
      <c:style val="31"/>
    </mc:Fallback>
  </mc:AlternateContent>
  <c:pivotSource>
    <c:name>[Sales Data Analysis in Excel Dashboard.xlsx]Sheet2!PivotTable2</c:name>
    <c:fmtId val="1"/>
  </c:pivotSource>
  <c:chart>
    <c:autoTitleDeleted val="1"/>
    <c:pivotFmts>
      <c:pivotFmt>
        <c:idx val="0"/>
      </c:pivotFmt>
      <c:pivotFmt>
        <c:idx val="1"/>
        <c:dLbl>
          <c:idx val="0"/>
          <c:layout/>
          <c:showLegendKey val="0"/>
          <c:showVal val="0"/>
          <c:showCatName val="1"/>
          <c:showSerName val="0"/>
          <c:showPercent val="1"/>
          <c:showBubbleSize val="0"/>
        </c:dLbl>
      </c:pivotFmt>
    </c:pivotFmts>
    <c:plotArea>
      <c:layout>
        <c:manualLayout>
          <c:layoutTarget val="inner"/>
          <c:xMode val="edge"/>
          <c:yMode val="edge"/>
          <c:x val="5.6988188976377953E-3"/>
          <c:y val="0.15064377369495482"/>
          <c:w val="0.48026924759405076"/>
          <c:h val="0.80044874599008453"/>
        </c:manualLayout>
      </c:layout>
      <c:pieChart>
        <c:varyColors val="1"/>
        <c:ser>
          <c:idx val="0"/>
          <c:order val="0"/>
          <c:tx>
            <c:strRef>
              <c:f>Sheet2!$B$1</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dLbls>
          <c:cat>
            <c:strRef>
              <c:f>Sheet2!$A$2:$A$6</c:f>
              <c:strCache>
                <c:ptCount val="4"/>
                <c:pt idx="0">
                  <c:v>East</c:v>
                </c:pt>
                <c:pt idx="1">
                  <c:v>North</c:v>
                </c:pt>
                <c:pt idx="2">
                  <c:v>South</c:v>
                </c:pt>
                <c:pt idx="3">
                  <c:v>West</c:v>
                </c:pt>
              </c:strCache>
            </c:strRef>
          </c:cat>
          <c:val>
            <c:numRef>
              <c:f>Sheet2!$B$2:$B$6</c:f>
              <c:numCache>
                <c:formatCode>0.00%</c:formatCode>
                <c:ptCount val="4"/>
                <c:pt idx="0">
                  <c:v>0.23572459402179483</c:v>
                </c:pt>
                <c:pt idx="1">
                  <c:v>0.26595176043258384</c:v>
                </c:pt>
                <c:pt idx="2">
                  <c:v>0.26862004963628783</c:v>
                </c:pt>
                <c:pt idx="3">
                  <c:v>0.22970359590933345</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spPr>
    <a:ln>
      <a:noFill/>
    </a:ln>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[Sales Data Analysis in Excel Dashboard.xlsx]Sheet1!PivotTable1</c:name>
    <c:fmtId val="1"/>
  </c:pivotSource>
  <c:chart>
    <c:title>
      <c:tx>
        <c:rich>
          <a:bodyPr/>
          <a:lstStyle/>
          <a:p>
            <a:pPr>
              <a:defRPr/>
            </a:pPr>
            <a:r>
              <a:rPr lang="en-US"/>
              <a:t>Regional</a:t>
            </a:r>
            <a:r>
              <a:rPr lang="en-US" baseline="0"/>
              <a:t> Profit</a:t>
            </a:r>
            <a:endParaRPr lang="en-US"/>
          </a:p>
        </c:rich>
      </c:tx>
      <c:layout/>
      <c:overlay val="0"/>
    </c:title>
    <c:autoTitleDeleted val="0"/>
    <c:pivotFmts>
      <c:pivotFmt>
        <c:idx val="0"/>
      </c:pivotFmt>
      <c:pivotFmt>
        <c:idx val="1"/>
      </c:pivotFmt>
    </c:pivotFmts>
    <c:plotArea>
      <c:layout/>
      <c:doughnutChart>
        <c:varyColors val="1"/>
        <c:ser>
          <c:idx val="0"/>
          <c:order val="0"/>
          <c:tx>
            <c:strRef>
              <c:f>Sheet1!$B$1</c:f>
              <c:strCache>
                <c:ptCount val="1"/>
                <c:pt idx="0">
                  <c:v>Total</c:v>
                </c:pt>
              </c:strCache>
            </c:strRef>
          </c:tx>
          <c:explosion val="25"/>
          <c:cat>
            <c:strRef>
              <c:f>Sheet1!$A$2:$A$6</c:f>
              <c:strCache>
                <c:ptCount val="4"/>
                <c:pt idx="0">
                  <c:v>East</c:v>
                </c:pt>
                <c:pt idx="1">
                  <c:v>North</c:v>
                </c:pt>
                <c:pt idx="2">
                  <c:v>South</c:v>
                </c:pt>
                <c:pt idx="3">
                  <c:v>West</c:v>
                </c:pt>
              </c:strCache>
            </c:strRef>
          </c:cat>
          <c:val>
            <c:numRef>
              <c:f>Sheet1!$B$2:$B$6</c:f>
              <c:numCache>
                <c:formatCode>0.00%</c:formatCode>
                <c:ptCount val="4"/>
                <c:pt idx="0">
                  <c:v>0.24002453426426493</c:v>
                </c:pt>
                <c:pt idx="1">
                  <c:v>0.25835541834562442</c:v>
                </c:pt>
                <c:pt idx="2">
                  <c:v>0.27001941408250035</c:v>
                </c:pt>
                <c:pt idx="3">
                  <c:v>0.23160063330761013</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19050</xdr:rowOff>
    </xdr:from>
    <xdr:to>
      <xdr:col>14</xdr:col>
      <xdr:colOff>0</xdr:colOff>
      <xdr:row>43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133350</xdr:colOff>
      <xdr:row>2</xdr:row>
      <xdr:rowOff>114300</xdr:rowOff>
    </xdr:from>
    <xdr:to>
      <xdr:col>13</xdr:col>
      <xdr:colOff>527050</xdr:colOff>
      <xdr:row>17</xdr:row>
      <xdr:rowOff>95250</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19050</xdr:rowOff>
    </xdr:from>
    <xdr:to>
      <xdr:col>6</xdr:col>
      <xdr:colOff>133350</xdr:colOff>
      <xdr:row>33</xdr:row>
      <xdr:rowOff>0</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xdr:row>
      <xdr:rowOff>127000</xdr:rowOff>
    </xdr:from>
    <xdr:to>
      <xdr:col>6</xdr:col>
      <xdr:colOff>133350</xdr:colOff>
      <xdr:row>17</xdr:row>
      <xdr:rowOff>107950</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139700</xdr:colOff>
      <xdr:row>18</xdr:row>
      <xdr:rowOff>19050</xdr:rowOff>
    </xdr:from>
    <xdr:to>
      <xdr:col>13</xdr:col>
      <xdr:colOff>533400</xdr:colOff>
      <xdr:row>33</xdr:row>
      <xdr:rowOff>0</xdr:rowOff>
    </xdr:to>
    <xdr:graphicFrame macro="">
      <xdr:nvGraphicFramePr>
        <xdr:cNvPr id="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190500</xdr:colOff>
      <xdr:row>9</xdr:row>
      <xdr:rowOff>126999</xdr:rowOff>
    </xdr:from>
    <xdr:to>
      <xdr:col>9</xdr:col>
      <xdr:colOff>43962</xdr:colOff>
      <xdr:row>13</xdr:row>
      <xdr:rowOff>121919</xdr:rowOff>
    </xdr:to>
    <mc:AlternateContent xmlns:mc="http://schemas.openxmlformats.org/markup-compatibility/2006">
      <mc:Choice xmlns:a14="http://schemas.microsoft.com/office/drawing/2010/main" Requires="a14">
        <xdr:graphicFrame macro="">
          <xdr:nvGraphicFramePr>
            <xdr:cNvPr id="7"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784929" y="2086428"/>
              <a:ext cx="6412104" cy="72063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184150</xdr:colOff>
      <xdr:row>2</xdr:row>
      <xdr:rowOff>120649</xdr:rowOff>
    </xdr:from>
    <xdr:to>
      <xdr:col>9</xdr:col>
      <xdr:colOff>52852</xdr:colOff>
      <xdr:row>9</xdr:row>
      <xdr:rowOff>111759</xdr:rowOff>
    </xdr:to>
    <mc:AlternateContent xmlns:mc="http://schemas.openxmlformats.org/markup-compatibility/2006">
      <mc:Choice xmlns:a14="http://schemas.microsoft.com/office/drawing/2010/main" Requires="a14">
        <xdr:graphicFrame macro="">
          <xdr:nvGraphicFramePr>
            <xdr:cNvPr id="8" name="Product Name"/>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2778579" y="810078"/>
              <a:ext cx="6427344" cy="126111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196850</xdr:colOff>
      <xdr:row>13</xdr:row>
      <xdr:rowOff>139699</xdr:rowOff>
    </xdr:from>
    <xdr:to>
      <xdr:col>9</xdr:col>
      <xdr:colOff>50312</xdr:colOff>
      <xdr:row>17</xdr:row>
      <xdr:rowOff>134619</xdr:rowOff>
    </xdr:to>
    <mc:AlternateContent xmlns:mc="http://schemas.openxmlformats.org/markup-compatibility/2006">
      <mc:Choice xmlns:a14="http://schemas.microsoft.com/office/drawing/2010/main" Requires="a14">
        <xdr:graphicFrame macro="">
          <xdr:nvGraphicFramePr>
            <xdr:cNvPr id="9"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2791279" y="2824842"/>
              <a:ext cx="6412104" cy="72063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896470</xdr:colOff>
      <xdr:row>17</xdr:row>
      <xdr:rowOff>156881</xdr:rowOff>
    </xdr:from>
    <xdr:to>
      <xdr:col>6</xdr:col>
      <xdr:colOff>672353</xdr:colOff>
      <xdr:row>34</xdr:row>
      <xdr:rowOff>14940</xdr:rowOff>
    </xdr:to>
    <xdr:sp macro="" textlink="">
      <xdr:nvSpPr>
        <xdr:cNvPr id="10" name="Rounded Rectangle 9"/>
        <xdr:cNvSpPr/>
      </xdr:nvSpPr>
      <xdr:spPr>
        <a:xfrm>
          <a:off x="5565588" y="3653116"/>
          <a:ext cx="896471" cy="3033059"/>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endParaRPr lang="en-US" sz="1100"/>
        </a:p>
      </xdr:txBody>
    </xdr:sp>
    <xdr:clientData/>
  </xdr:twoCellAnchor>
  <xdr:twoCellAnchor>
    <xdr:from>
      <xdr:col>0</xdr:col>
      <xdr:colOff>163286</xdr:colOff>
      <xdr:row>2</xdr:row>
      <xdr:rowOff>90715</xdr:rowOff>
    </xdr:from>
    <xdr:to>
      <xdr:col>3</xdr:col>
      <xdr:colOff>45357</xdr:colOff>
      <xdr:row>4</xdr:row>
      <xdr:rowOff>27214</xdr:rowOff>
    </xdr:to>
    <xdr:sp macro="" textlink="">
      <xdr:nvSpPr>
        <xdr:cNvPr id="15" name="Rectangle 14"/>
        <xdr:cNvSpPr/>
      </xdr:nvSpPr>
      <xdr:spPr>
        <a:xfrm>
          <a:off x="163286" y="780144"/>
          <a:ext cx="2476500" cy="299356"/>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FF00"/>
              </a:solidFill>
            </a:rPr>
            <a:t>Total</a:t>
          </a:r>
          <a:r>
            <a:rPr lang="en-US" sz="1800" b="1" baseline="0">
              <a:solidFill>
                <a:srgbClr val="FFFF00"/>
              </a:solidFill>
            </a:rPr>
            <a:t> Cost by </a:t>
          </a:r>
          <a:r>
            <a:rPr lang="en-US" sz="2000" b="1" baseline="0">
              <a:solidFill>
                <a:srgbClr val="FFFF00"/>
              </a:solidFill>
            </a:rPr>
            <a:t>Region</a:t>
          </a:r>
          <a:endParaRPr lang="en-US" sz="1800" b="1">
            <a:solidFill>
              <a:srgbClr val="FFFF0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0.5585</cdr:x>
      <cdr:y>0.00671</cdr:y>
    </cdr:from>
    <cdr:to>
      <cdr:x>0.99387</cdr:x>
      <cdr:y>0.13897</cdr:y>
    </cdr:to>
    <cdr:sp macro="" textlink="">
      <cdr:nvSpPr>
        <cdr:cNvPr id="3" name="Rectangle 2"/>
        <cdr:cNvSpPr/>
      </cdr:nvSpPr>
      <cdr:spPr>
        <a:xfrm xmlns:a="http://schemas.openxmlformats.org/drawingml/2006/main">
          <a:off x="3386362" y="18143"/>
          <a:ext cx="2639787" cy="357413"/>
        </a:xfrm>
        <a:prstGeom xmlns:a="http://schemas.openxmlformats.org/drawingml/2006/main" prst="rect">
          <a:avLst/>
        </a:prstGeom>
        <a:solidFill xmlns:a="http://schemas.openxmlformats.org/drawingml/2006/main">
          <a:schemeClr val="accent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2000" b="1">
              <a:solidFill>
                <a:srgbClr val="FFFF00"/>
              </a:solidFill>
            </a:rPr>
            <a:t>Total</a:t>
          </a:r>
          <a:r>
            <a:rPr lang="en-US" sz="2000" b="1" baseline="0">
              <a:solidFill>
                <a:srgbClr val="FFFF00"/>
              </a:solidFill>
            </a:rPr>
            <a:t> Slaes by Region</a:t>
          </a:r>
          <a:endParaRPr lang="en-US" sz="2000" b="1">
            <a:solidFill>
              <a:srgbClr val="FFFF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45.883796296293" createdVersion="4" refreshedVersion="4" minRefreshableVersion="3" recordCount="1200">
  <cacheSource type="worksheet">
    <worksheetSource name="Table1"/>
  </cacheSource>
  <cacheFields count="12">
    <cacheField name="Order ID" numFmtId="0">
      <sharedItems/>
    </cacheField>
    <cacheField name="Order Date" numFmtId="0">
      <sharedItems containsSemiMixedTypes="0" containsString="0" containsNumber="1" containsInteger="1" minValue="45293" maxValue="45656"/>
    </cacheField>
    <cacheField name="Customer Name" numFmtId="0">
      <sharedItems/>
    </cacheField>
    <cacheField name="Region" numFmtId="0">
      <sharedItems count="4">
        <s v="East"/>
        <s v="West"/>
        <s v="South"/>
        <s v="North"/>
      </sharedItems>
    </cacheField>
    <cacheField name="Product Category" numFmtId="0">
      <sharedItems count="4">
        <s v="Home"/>
        <s v="Electronics"/>
        <s v="Clothing"/>
        <s v="Accessories"/>
      </sharedItems>
    </cacheField>
    <cacheField name="Product Name" numFmtId="0">
      <sharedItems count="13">
        <s v="Table"/>
        <s v="Lamp"/>
        <s v="Chair"/>
        <s v="Keyboard"/>
        <s v="Jeans"/>
        <s v="Watch"/>
        <s v="Mouse"/>
        <s v="USB Cable"/>
        <s v="Bag"/>
        <s v="T-Shirt"/>
        <s v="Wallet"/>
        <s v="Headphone"/>
        <s v="Jacket"/>
      </sharedItems>
    </cacheField>
    <cacheField name="Quantity" numFmtId="0">
      <sharedItems containsSemiMixedTypes="0" containsString="0" containsNumber="1" containsInteger="1" minValue="1" maxValue="5"/>
    </cacheField>
    <cacheField name="Unit Price" numFmtId="164">
      <sharedItems containsSemiMixedTypes="0" containsString="0" containsNumber="1" containsInteger="1" minValue="10" maxValue="100"/>
    </cacheField>
    <cacheField name="Total Sales" numFmtId="164">
      <sharedItems containsSemiMixedTypes="0" containsString="0" containsNumber="1" containsInteger="1" minValue="10" maxValue="500"/>
    </cacheField>
    <cacheField name="Cost" numFmtId="164">
      <sharedItems containsSemiMixedTypes="0" containsString="0" containsNumber="1" minValue="5.86" maxValue="389.29"/>
    </cacheField>
    <cacheField name="Profit" numFmtId="164">
      <sharedItems containsSemiMixedTypes="0" containsString="0" containsNumber="1" minValue="2.57" maxValue="237.04"/>
    </cacheField>
    <cacheField name="Payment Method" numFmtId="0">
      <sharedItems count="4">
        <s v="bKash"/>
        <s v="Nagad"/>
        <s v="Card"/>
        <s v="Cas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s v="ORD0001"/>
    <n v="45521"/>
    <s v="Customer 201"/>
    <x v="0"/>
    <x v="0"/>
    <x v="0"/>
    <n v="4"/>
    <n v="73"/>
    <n v="292"/>
    <n v="222.12"/>
    <n v="69.88"/>
    <x v="0"/>
  </r>
  <r>
    <s v="ORD0002"/>
    <n v="45417"/>
    <s v="Customer 30"/>
    <x v="0"/>
    <x v="0"/>
    <x v="1"/>
    <n v="5"/>
    <n v="47"/>
    <n v="235"/>
    <n v="132.80000000000001"/>
    <n v="102.2"/>
    <x v="1"/>
  </r>
  <r>
    <s v="ORD0003"/>
    <n v="45615"/>
    <s v="Customer 113"/>
    <x v="1"/>
    <x v="0"/>
    <x v="2"/>
    <n v="4"/>
    <n v="51"/>
    <n v="204"/>
    <n v="124.82"/>
    <n v="79.180000000000007"/>
    <x v="1"/>
  </r>
  <r>
    <s v="ORD0004"/>
    <n v="45655"/>
    <s v="Customer 68"/>
    <x v="2"/>
    <x v="1"/>
    <x v="3"/>
    <n v="3"/>
    <n v="31"/>
    <n v="93"/>
    <n v="64.41"/>
    <n v="28.59"/>
    <x v="0"/>
  </r>
  <r>
    <s v="ORD0005"/>
    <n v="45458"/>
    <s v="Customer 49"/>
    <x v="0"/>
    <x v="2"/>
    <x v="4"/>
    <n v="2"/>
    <n v="58"/>
    <n v="116"/>
    <n v="66.72"/>
    <n v="49.28"/>
    <x v="2"/>
  </r>
  <r>
    <s v="ORD0006"/>
    <n v="45631"/>
    <s v="Customer 128"/>
    <x v="2"/>
    <x v="3"/>
    <x v="5"/>
    <n v="4"/>
    <n v="79"/>
    <n v="316"/>
    <n v="211.44"/>
    <n v="104.56"/>
    <x v="1"/>
  </r>
  <r>
    <s v="ORD0007"/>
    <n v="45362"/>
    <s v="Customer 28"/>
    <x v="3"/>
    <x v="1"/>
    <x v="6"/>
    <n v="5"/>
    <n v="97"/>
    <n v="485"/>
    <n v="356.63"/>
    <n v="128.37"/>
    <x v="3"/>
  </r>
  <r>
    <s v="ORD0008"/>
    <n v="45420"/>
    <s v="Customer 285"/>
    <x v="0"/>
    <x v="1"/>
    <x v="7"/>
    <n v="3"/>
    <n v="38"/>
    <n v="114"/>
    <n v="66.790000000000006"/>
    <n v="47.21"/>
    <x v="2"/>
  </r>
  <r>
    <s v="ORD0009"/>
    <n v="45393"/>
    <s v="Customer 40"/>
    <x v="0"/>
    <x v="1"/>
    <x v="6"/>
    <n v="3"/>
    <n v="83"/>
    <n v="249"/>
    <n v="151.93"/>
    <n v="97.07"/>
    <x v="2"/>
  </r>
  <r>
    <s v="ORD0010"/>
    <n v="45503"/>
    <s v="Customer 119"/>
    <x v="1"/>
    <x v="3"/>
    <x v="8"/>
    <n v="4"/>
    <n v="51"/>
    <n v="204"/>
    <n v="154.74"/>
    <n v="49.26"/>
    <x v="2"/>
  </r>
  <r>
    <s v="ORD0011"/>
    <n v="45514"/>
    <s v="Customer 212"/>
    <x v="0"/>
    <x v="2"/>
    <x v="9"/>
    <n v="1"/>
    <n v="78"/>
    <n v="78"/>
    <n v="44.99"/>
    <n v="33.01"/>
    <x v="3"/>
  </r>
  <r>
    <s v="ORD0012"/>
    <n v="45376"/>
    <s v="Customer 212"/>
    <x v="0"/>
    <x v="3"/>
    <x v="5"/>
    <n v="1"/>
    <n v="57"/>
    <n v="57"/>
    <n v="30.82"/>
    <n v="26.18"/>
    <x v="1"/>
  </r>
  <r>
    <s v="ORD0013"/>
    <n v="45523"/>
    <s v="Customer 119"/>
    <x v="2"/>
    <x v="3"/>
    <x v="10"/>
    <n v="1"/>
    <n v="68"/>
    <n v="68"/>
    <n v="45.76"/>
    <n v="22.24"/>
    <x v="0"/>
  </r>
  <r>
    <s v="ORD0014"/>
    <n v="45476"/>
    <s v="Customer 137"/>
    <x v="0"/>
    <x v="0"/>
    <x v="0"/>
    <n v="5"/>
    <n v="44"/>
    <n v="220"/>
    <n v="111.85"/>
    <n v="108.15"/>
    <x v="1"/>
  </r>
  <r>
    <s v="ORD0015"/>
    <n v="45623"/>
    <s v="Customer 215"/>
    <x v="3"/>
    <x v="0"/>
    <x v="0"/>
    <n v="1"/>
    <n v="69"/>
    <n v="69"/>
    <n v="43.1"/>
    <n v="25.9"/>
    <x v="2"/>
  </r>
  <r>
    <s v="ORD0016"/>
    <n v="45642"/>
    <s v="Customer 59"/>
    <x v="0"/>
    <x v="0"/>
    <x v="2"/>
    <n v="5"/>
    <n v="12"/>
    <n v="60"/>
    <n v="38.56"/>
    <n v="21.44"/>
    <x v="2"/>
  </r>
  <r>
    <s v="ORD0017"/>
    <n v="45456"/>
    <s v="Customer 283"/>
    <x v="0"/>
    <x v="0"/>
    <x v="1"/>
    <n v="4"/>
    <n v="14"/>
    <n v="56"/>
    <n v="43.12"/>
    <n v="12.88"/>
    <x v="2"/>
  </r>
  <r>
    <s v="ORD0018"/>
    <n v="45636"/>
    <s v="Customer 88"/>
    <x v="1"/>
    <x v="1"/>
    <x v="3"/>
    <n v="5"/>
    <n v="23"/>
    <n v="115"/>
    <n v="85.99"/>
    <n v="29.01"/>
    <x v="1"/>
  </r>
  <r>
    <s v="ORD0019"/>
    <n v="45501"/>
    <s v="Customer 190"/>
    <x v="2"/>
    <x v="1"/>
    <x v="3"/>
    <n v="1"/>
    <n v="55"/>
    <n v="55"/>
    <n v="40.020000000000003"/>
    <n v="14.98"/>
    <x v="1"/>
  </r>
  <r>
    <s v="ORD0020"/>
    <n v="45415"/>
    <s v="Customer 240"/>
    <x v="1"/>
    <x v="1"/>
    <x v="3"/>
    <n v="3"/>
    <n v="86"/>
    <n v="258"/>
    <n v="166.57"/>
    <n v="91.43"/>
    <x v="3"/>
  </r>
  <r>
    <s v="ORD0021"/>
    <n v="45636"/>
    <s v="Customer 175"/>
    <x v="0"/>
    <x v="1"/>
    <x v="11"/>
    <n v="2"/>
    <n v="80"/>
    <n v="160"/>
    <n v="86.51"/>
    <n v="73.489999999999995"/>
    <x v="1"/>
  </r>
  <r>
    <s v="ORD0022"/>
    <n v="45380"/>
    <s v="Customer 268"/>
    <x v="3"/>
    <x v="2"/>
    <x v="9"/>
    <n v="3"/>
    <n v="65"/>
    <n v="195"/>
    <n v="155.87"/>
    <n v="39.130000000000003"/>
    <x v="1"/>
  </r>
  <r>
    <s v="ORD0023"/>
    <n v="45610"/>
    <s v="Customer 154"/>
    <x v="2"/>
    <x v="2"/>
    <x v="9"/>
    <n v="2"/>
    <n v="15"/>
    <n v="30"/>
    <n v="21.75"/>
    <n v="8.25"/>
    <x v="2"/>
  </r>
  <r>
    <s v="ORD0024"/>
    <n v="45407"/>
    <s v="Customer 157"/>
    <x v="1"/>
    <x v="3"/>
    <x v="8"/>
    <n v="5"/>
    <n v="12"/>
    <n v="60"/>
    <n v="43.36"/>
    <n v="16.64"/>
    <x v="2"/>
  </r>
  <r>
    <s v="ORD0025"/>
    <n v="45614"/>
    <s v="Customer 290"/>
    <x v="0"/>
    <x v="0"/>
    <x v="0"/>
    <n v="3"/>
    <n v="42"/>
    <n v="126"/>
    <n v="67.55"/>
    <n v="58.45"/>
    <x v="2"/>
  </r>
  <r>
    <s v="ORD0026"/>
    <n v="45599"/>
    <s v="Customer 254"/>
    <x v="0"/>
    <x v="3"/>
    <x v="10"/>
    <n v="5"/>
    <n v="48"/>
    <n v="240"/>
    <n v="146.79"/>
    <n v="93.21"/>
    <x v="3"/>
  </r>
  <r>
    <s v="ORD0027"/>
    <n v="45544"/>
    <s v="Customer 188"/>
    <x v="1"/>
    <x v="0"/>
    <x v="0"/>
    <n v="1"/>
    <n v="18"/>
    <n v="18"/>
    <n v="13.95"/>
    <n v="4.05"/>
    <x v="1"/>
  </r>
  <r>
    <s v="ORD0028"/>
    <n v="45352"/>
    <s v="Customer 289"/>
    <x v="0"/>
    <x v="2"/>
    <x v="4"/>
    <n v="4"/>
    <n v="42"/>
    <n v="168"/>
    <n v="94.24"/>
    <n v="73.760000000000005"/>
    <x v="3"/>
  </r>
  <r>
    <s v="ORD0029"/>
    <n v="45312"/>
    <s v="Customer 176"/>
    <x v="1"/>
    <x v="2"/>
    <x v="12"/>
    <n v="2"/>
    <n v="58"/>
    <n v="116"/>
    <n v="82.89"/>
    <n v="33.11"/>
    <x v="0"/>
  </r>
  <r>
    <s v="ORD0030"/>
    <n v="45406"/>
    <s v="Customer 49"/>
    <x v="2"/>
    <x v="2"/>
    <x v="9"/>
    <n v="1"/>
    <n v="93"/>
    <n v="93"/>
    <n v="74.12"/>
    <n v="18.88"/>
    <x v="0"/>
  </r>
  <r>
    <s v="ORD0031"/>
    <n v="45310"/>
    <s v="Customer 183"/>
    <x v="3"/>
    <x v="3"/>
    <x v="10"/>
    <n v="2"/>
    <n v="10"/>
    <n v="20"/>
    <n v="13.05"/>
    <n v="6.95"/>
    <x v="0"/>
  </r>
  <r>
    <s v="ORD0032"/>
    <n v="45645"/>
    <s v="Customer 178"/>
    <x v="1"/>
    <x v="0"/>
    <x v="0"/>
    <n v="2"/>
    <n v="63"/>
    <n v="126"/>
    <n v="66.23"/>
    <n v="59.77"/>
    <x v="2"/>
  </r>
  <r>
    <s v="ORD0033"/>
    <n v="45615"/>
    <s v="Customer 151"/>
    <x v="0"/>
    <x v="1"/>
    <x v="3"/>
    <n v="2"/>
    <n v="51"/>
    <n v="102"/>
    <n v="62.06"/>
    <n v="39.94"/>
    <x v="1"/>
  </r>
  <r>
    <s v="ORD0034"/>
    <n v="45554"/>
    <s v="Customer 45"/>
    <x v="0"/>
    <x v="2"/>
    <x v="4"/>
    <n v="3"/>
    <n v="28"/>
    <n v="84"/>
    <n v="66.2"/>
    <n v="17.8"/>
    <x v="1"/>
  </r>
  <r>
    <s v="ORD0035"/>
    <n v="45410"/>
    <s v="Customer 159"/>
    <x v="1"/>
    <x v="0"/>
    <x v="0"/>
    <n v="3"/>
    <n v="32"/>
    <n v="96"/>
    <n v="62.69"/>
    <n v="33.31"/>
    <x v="3"/>
  </r>
  <r>
    <s v="ORD0036"/>
    <n v="45635"/>
    <s v="Customer 122"/>
    <x v="1"/>
    <x v="1"/>
    <x v="6"/>
    <n v="1"/>
    <n v="42"/>
    <n v="42"/>
    <n v="28.22"/>
    <n v="13.78"/>
    <x v="0"/>
  </r>
  <r>
    <s v="ORD0037"/>
    <n v="45405"/>
    <s v="Customer 280"/>
    <x v="1"/>
    <x v="2"/>
    <x v="9"/>
    <n v="4"/>
    <n v="55"/>
    <n v="220"/>
    <n v="120.93"/>
    <n v="99.07"/>
    <x v="3"/>
  </r>
  <r>
    <s v="ORD0038"/>
    <n v="45366"/>
    <s v="Customer 27"/>
    <x v="2"/>
    <x v="2"/>
    <x v="12"/>
    <n v="3"/>
    <n v="44"/>
    <n v="132"/>
    <n v="99.88"/>
    <n v="32.119999999999997"/>
    <x v="1"/>
  </r>
  <r>
    <s v="ORD0039"/>
    <n v="45358"/>
    <s v="Customer 289"/>
    <x v="2"/>
    <x v="2"/>
    <x v="4"/>
    <n v="5"/>
    <n v="83"/>
    <n v="415"/>
    <n v="216.22"/>
    <n v="198.78"/>
    <x v="0"/>
  </r>
  <r>
    <s v="ORD0040"/>
    <n v="45596"/>
    <s v="Customer 217"/>
    <x v="3"/>
    <x v="2"/>
    <x v="12"/>
    <n v="3"/>
    <n v="59"/>
    <n v="177"/>
    <n v="115.09"/>
    <n v="61.91"/>
    <x v="3"/>
  </r>
  <r>
    <s v="ORD0041"/>
    <n v="45545"/>
    <s v="Customer 267"/>
    <x v="0"/>
    <x v="0"/>
    <x v="0"/>
    <n v="3"/>
    <n v="69"/>
    <n v="207"/>
    <n v="163.16"/>
    <n v="43.84"/>
    <x v="2"/>
  </r>
  <r>
    <s v="ORD0042"/>
    <n v="45495"/>
    <s v="Customer 294"/>
    <x v="2"/>
    <x v="0"/>
    <x v="1"/>
    <n v="3"/>
    <n v="15"/>
    <n v="45"/>
    <n v="34.96"/>
    <n v="10.039999999999999"/>
    <x v="1"/>
  </r>
  <r>
    <s v="ORD0043"/>
    <n v="45421"/>
    <s v="Customer 8"/>
    <x v="1"/>
    <x v="3"/>
    <x v="5"/>
    <n v="2"/>
    <n v="30"/>
    <n v="60"/>
    <n v="36"/>
    <n v="24"/>
    <x v="1"/>
  </r>
  <r>
    <s v="ORD0044"/>
    <n v="45433"/>
    <s v="Customer 249"/>
    <x v="0"/>
    <x v="1"/>
    <x v="7"/>
    <n v="5"/>
    <n v="81"/>
    <n v="405"/>
    <n v="265.27"/>
    <n v="139.72999999999999"/>
    <x v="3"/>
  </r>
  <r>
    <s v="ORD0045"/>
    <n v="45529"/>
    <s v="Customer 85"/>
    <x v="2"/>
    <x v="2"/>
    <x v="9"/>
    <n v="1"/>
    <n v="75"/>
    <n v="75"/>
    <n v="55.66"/>
    <n v="19.34"/>
    <x v="1"/>
  </r>
  <r>
    <s v="ORD0046"/>
    <n v="45345"/>
    <s v="Customer 254"/>
    <x v="2"/>
    <x v="3"/>
    <x v="5"/>
    <n v="4"/>
    <n v="36"/>
    <n v="144"/>
    <n v="91.9"/>
    <n v="52.1"/>
    <x v="3"/>
  </r>
  <r>
    <s v="ORD0047"/>
    <n v="45353"/>
    <s v="Customer 199"/>
    <x v="1"/>
    <x v="0"/>
    <x v="0"/>
    <n v="3"/>
    <n v="55"/>
    <n v="165"/>
    <n v="112.22"/>
    <n v="52.78"/>
    <x v="1"/>
  </r>
  <r>
    <s v="ORD0048"/>
    <n v="45485"/>
    <s v="Customer 137"/>
    <x v="1"/>
    <x v="2"/>
    <x v="12"/>
    <n v="4"/>
    <n v="43"/>
    <n v="172"/>
    <n v="109.68"/>
    <n v="62.32"/>
    <x v="3"/>
  </r>
  <r>
    <s v="ORD0049"/>
    <n v="45404"/>
    <s v="Customer 29"/>
    <x v="0"/>
    <x v="1"/>
    <x v="3"/>
    <n v="3"/>
    <n v="84"/>
    <n v="252"/>
    <n v="143.63999999999999"/>
    <n v="108.36"/>
    <x v="0"/>
  </r>
  <r>
    <s v="ORD0050"/>
    <n v="45449"/>
    <s v="Customer 42"/>
    <x v="2"/>
    <x v="1"/>
    <x v="3"/>
    <n v="2"/>
    <n v="26"/>
    <n v="52"/>
    <n v="38.46"/>
    <n v="13.54"/>
    <x v="3"/>
  </r>
  <r>
    <s v="ORD0051"/>
    <n v="45360"/>
    <s v="Customer 191"/>
    <x v="0"/>
    <x v="1"/>
    <x v="7"/>
    <n v="5"/>
    <n v="61"/>
    <n v="305"/>
    <n v="198.48"/>
    <n v="106.52"/>
    <x v="0"/>
  </r>
  <r>
    <s v="ORD0052"/>
    <n v="45541"/>
    <s v="Customer 100"/>
    <x v="2"/>
    <x v="2"/>
    <x v="9"/>
    <n v="1"/>
    <n v="86"/>
    <n v="86"/>
    <n v="53.21"/>
    <n v="32.79"/>
    <x v="1"/>
  </r>
  <r>
    <s v="ORD0053"/>
    <n v="45656"/>
    <s v="Customer 134"/>
    <x v="0"/>
    <x v="1"/>
    <x v="6"/>
    <n v="5"/>
    <n v="18"/>
    <n v="90"/>
    <n v="46.06"/>
    <n v="43.94"/>
    <x v="3"/>
  </r>
  <r>
    <s v="ORD0054"/>
    <n v="45633"/>
    <s v="Customer 90"/>
    <x v="0"/>
    <x v="1"/>
    <x v="3"/>
    <n v="1"/>
    <n v="13"/>
    <n v="13"/>
    <n v="8.69"/>
    <n v="4.3099999999999996"/>
    <x v="0"/>
  </r>
  <r>
    <s v="ORD0055"/>
    <n v="45562"/>
    <s v="Customer 51"/>
    <x v="2"/>
    <x v="0"/>
    <x v="0"/>
    <n v="2"/>
    <n v="26"/>
    <n v="52"/>
    <n v="35.89"/>
    <n v="16.11"/>
    <x v="3"/>
  </r>
  <r>
    <s v="ORD0056"/>
    <n v="45382"/>
    <s v="Customer 5"/>
    <x v="2"/>
    <x v="0"/>
    <x v="0"/>
    <n v="4"/>
    <n v="73"/>
    <n v="292"/>
    <n v="179.32"/>
    <n v="112.68"/>
    <x v="1"/>
  </r>
  <r>
    <s v="ORD0057"/>
    <n v="45488"/>
    <s v="Customer 39"/>
    <x v="2"/>
    <x v="1"/>
    <x v="7"/>
    <n v="5"/>
    <n v="84"/>
    <n v="420"/>
    <n v="305.7"/>
    <n v="114.3"/>
    <x v="1"/>
  </r>
  <r>
    <s v="ORD0058"/>
    <n v="45524"/>
    <s v="Customer 9"/>
    <x v="3"/>
    <x v="0"/>
    <x v="2"/>
    <n v="3"/>
    <n v="67"/>
    <n v="201"/>
    <n v="109.8"/>
    <n v="91.2"/>
    <x v="1"/>
  </r>
  <r>
    <s v="ORD0059"/>
    <n v="45606"/>
    <s v="Customer 206"/>
    <x v="2"/>
    <x v="2"/>
    <x v="4"/>
    <n v="4"/>
    <n v="28"/>
    <n v="112"/>
    <n v="59.28"/>
    <n v="52.72"/>
    <x v="1"/>
  </r>
  <r>
    <s v="ORD0060"/>
    <n v="45451"/>
    <s v="Customer 209"/>
    <x v="1"/>
    <x v="0"/>
    <x v="1"/>
    <n v="3"/>
    <n v="33"/>
    <n v="99"/>
    <n v="74.22"/>
    <n v="24.78"/>
    <x v="3"/>
  </r>
  <r>
    <s v="ORD0061"/>
    <n v="45436"/>
    <s v="Customer 90"/>
    <x v="1"/>
    <x v="0"/>
    <x v="1"/>
    <n v="3"/>
    <n v="39"/>
    <n v="117"/>
    <n v="90.86"/>
    <n v="26.14"/>
    <x v="0"/>
  </r>
  <r>
    <s v="ORD0062"/>
    <n v="45527"/>
    <s v="Customer 109"/>
    <x v="2"/>
    <x v="2"/>
    <x v="4"/>
    <n v="4"/>
    <n v="72"/>
    <n v="288"/>
    <n v="183.86"/>
    <n v="104.14"/>
    <x v="0"/>
  </r>
  <r>
    <s v="ORD0063"/>
    <n v="45550"/>
    <s v="Customer 57"/>
    <x v="2"/>
    <x v="0"/>
    <x v="0"/>
    <n v="4"/>
    <n v="33"/>
    <n v="132"/>
    <n v="76.06"/>
    <n v="55.94"/>
    <x v="3"/>
  </r>
  <r>
    <s v="ORD0064"/>
    <n v="45439"/>
    <s v="Customer 166"/>
    <x v="3"/>
    <x v="1"/>
    <x v="7"/>
    <n v="2"/>
    <n v="77"/>
    <n v="154"/>
    <n v="110.02"/>
    <n v="43.98"/>
    <x v="3"/>
  </r>
  <r>
    <s v="ORD0065"/>
    <n v="45512"/>
    <s v="Customer 36"/>
    <x v="2"/>
    <x v="3"/>
    <x v="10"/>
    <n v="2"/>
    <n v="47"/>
    <n v="94"/>
    <n v="47.78"/>
    <n v="46.22"/>
    <x v="1"/>
  </r>
  <r>
    <s v="ORD0066"/>
    <n v="45335"/>
    <s v="Customer 52"/>
    <x v="1"/>
    <x v="0"/>
    <x v="0"/>
    <n v="2"/>
    <n v="100"/>
    <n v="200"/>
    <n v="145.55000000000001"/>
    <n v="54.45"/>
    <x v="2"/>
  </r>
  <r>
    <s v="ORD0067"/>
    <n v="45429"/>
    <s v="Customer 264"/>
    <x v="1"/>
    <x v="0"/>
    <x v="2"/>
    <n v="1"/>
    <n v="37"/>
    <n v="37"/>
    <n v="19.7"/>
    <n v="17.3"/>
    <x v="3"/>
  </r>
  <r>
    <s v="ORD0068"/>
    <n v="45502"/>
    <s v="Customer 60"/>
    <x v="0"/>
    <x v="2"/>
    <x v="12"/>
    <n v="1"/>
    <n v="11"/>
    <n v="11"/>
    <n v="6.17"/>
    <n v="4.83"/>
    <x v="0"/>
  </r>
  <r>
    <s v="ORD0069"/>
    <n v="45503"/>
    <s v="Customer 104"/>
    <x v="1"/>
    <x v="3"/>
    <x v="10"/>
    <n v="5"/>
    <n v="73"/>
    <n v="365"/>
    <n v="288.74"/>
    <n v="76.260000000000005"/>
    <x v="3"/>
  </r>
  <r>
    <s v="ORD0070"/>
    <n v="45339"/>
    <s v="Customer 148"/>
    <x v="1"/>
    <x v="1"/>
    <x v="11"/>
    <n v="5"/>
    <n v="78"/>
    <n v="390"/>
    <n v="271.68"/>
    <n v="118.32"/>
    <x v="2"/>
  </r>
  <r>
    <s v="ORD0071"/>
    <n v="45308"/>
    <s v="Customer 34"/>
    <x v="3"/>
    <x v="2"/>
    <x v="12"/>
    <n v="1"/>
    <n v="46"/>
    <n v="46"/>
    <n v="31.17"/>
    <n v="14.83"/>
    <x v="0"/>
  </r>
  <r>
    <s v="ORD0072"/>
    <n v="45499"/>
    <s v="Customer 288"/>
    <x v="0"/>
    <x v="0"/>
    <x v="0"/>
    <n v="4"/>
    <n v="30"/>
    <n v="120"/>
    <n v="86.99"/>
    <n v="33.01"/>
    <x v="1"/>
  </r>
  <r>
    <s v="ORD0073"/>
    <n v="45635"/>
    <s v="Customer 136"/>
    <x v="1"/>
    <x v="0"/>
    <x v="2"/>
    <n v="1"/>
    <n v="96"/>
    <n v="96"/>
    <n v="62.91"/>
    <n v="33.090000000000003"/>
    <x v="3"/>
  </r>
  <r>
    <s v="ORD0074"/>
    <n v="45597"/>
    <s v="Customer 276"/>
    <x v="2"/>
    <x v="1"/>
    <x v="7"/>
    <n v="2"/>
    <n v="89"/>
    <n v="178"/>
    <n v="114.32"/>
    <n v="63.68"/>
    <x v="0"/>
  </r>
  <r>
    <s v="ORD0075"/>
    <n v="45311"/>
    <s v="Customer 140"/>
    <x v="0"/>
    <x v="2"/>
    <x v="4"/>
    <n v="2"/>
    <n v="73"/>
    <n v="146"/>
    <n v="101.58"/>
    <n v="44.42"/>
    <x v="0"/>
  </r>
  <r>
    <s v="ORD0076"/>
    <n v="45530"/>
    <s v="Customer 180"/>
    <x v="0"/>
    <x v="1"/>
    <x v="6"/>
    <n v="1"/>
    <n v="57"/>
    <n v="57"/>
    <n v="38.6"/>
    <n v="18.399999999999999"/>
    <x v="1"/>
  </r>
  <r>
    <s v="ORD0077"/>
    <n v="45562"/>
    <s v="Customer 290"/>
    <x v="1"/>
    <x v="2"/>
    <x v="9"/>
    <n v="4"/>
    <n v="83"/>
    <n v="332"/>
    <n v="176.12"/>
    <n v="155.88"/>
    <x v="2"/>
  </r>
  <r>
    <s v="ORD0078"/>
    <n v="45455"/>
    <s v="Customer 279"/>
    <x v="2"/>
    <x v="2"/>
    <x v="4"/>
    <n v="4"/>
    <n v="29"/>
    <n v="116"/>
    <n v="82.63"/>
    <n v="33.369999999999997"/>
    <x v="2"/>
  </r>
  <r>
    <s v="ORD0079"/>
    <n v="45449"/>
    <s v="Customer 68"/>
    <x v="0"/>
    <x v="0"/>
    <x v="0"/>
    <n v="5"/>
    <n v="62"/>
    <n v="310"/>
    <n v="206.09"/>
    <n v="103.91"/>
    <x v="2"/>
  </r>
  <r>
    <s v="ORD0080"/>
    <n v="45418"/>
    <s v="Customer 192"/>
    <x v="1"/>
    <x v="2"/>
    <x v="9"/>
    <n v="4"/>
    <n v="51"/>
    <n v="204"/>
    <n v="119.02"/>
    <n v="84.98"/>
    <x v="3"/>
  </r>
  <r>
    <s v="ORD0081"/>
    <n v="45326"/>
    <s v="Customer 273"/>
    <x v="3"/>
    <x v="0"/>
    <x v="0"/>
    <n v="5"/>
    <n v="67"/>
    <n v="335"/>
    <n v="211.56"/>
    <n v="123.44"/>
    <x v="2"/>
  </r>
  <r>
    <s v="ORD0082"/>
    <n v="45303"/>
    <s v="Customer 27"/>
    <x v="3"/>
    <x v="2"/>
    <x v="9"/>
    <n v="2"/>
    <n v="24"/>
    <n v="48"/>
    <n v="34.29"/>
    <n v="13.71"/>
    <x v="3"/>
  </r>
  <r>
    <s v="ORD0083"/>
    <n v="45617"/>
    <s v="Customer 148"/>
    <x v="3"/>
    <x v="3"/>
    <x v="5"/>
    <n v="4"/>
    <n v="51"/>
    <n v="204"/>
    <n v="102.74"/>
    <n v="101.26"/>
    <x v="1"/>
  </r>
  <r>
    <s v="ORD0084"/>
    <n v="45611"/>
    <s v="Customer 247"/>
    <x v="2"/>
    <x v="0"/>
    <x v="1"/>
    <n v="2"/>
    <n v="66"/>
    <n v="132"/>
    <n v="91.46"/>
    <n v="40.54"/>
    <x v="1"/>
  </r>
  <r>
    <s v="ORD0085"/>
    <n v="45473"/>
    <s v="Customer 199"/>
    <x v="3"/>
    <x v="1"/>
    <x v="11"/>
    <n v="3"/>
    <n v="77"/>
    <n v="231"/>
    <n v="154.88"/>
    <n v="76.12"/>
    <x v="0"/>
  </r>
  <r>
    <s v="ORD0086"/>
    <n v="45607"/>
    <s v="Customer 96"/>
    <x v="3"/>
    <x v="2"/>
    <x v="9"/>
    <n v="5"/>
    <n v="61"/>
    <n v="305"/>
    <n v="222.65"/>
    <n v="82.35"/>
    <x v="2"/>
  </r>
  <r>
    <s v="ORD0087"/>
    <n v="45505"/>
    <s v="Customer 51"/>
    <x v="2"/>
    <x v="2"/>
    <x v="12"/>
    <n v="2"/>
    <n v="18"/>
    <n v="36"/>
    <n v="28.33"/>
    <n v="7.67"/>
    <x v="3"/>
  </r>
  <r>
    <s v="ORD0088"/>
    <n v="45643"/>
    <s v="Customer 228"/>
    <x v="0"/>
    <x v="3"/>
    <x v="5"/>
    <n v="2"/>
    <n v="16"/>
    <n v="32"/>
    <n v="18.010000000000002"/>
    <n v="13.99"/>
    <x v="1"/>
  </r>
  <r>
    <s v="ORD0089"/>
    <n v="45550"/>
    <s v="Customer 18"/>
    <x v="2"/>
    <x v="1"/>
    <x v="3"/>
    <n v="3"/>
    <n v="100"/>
    <n v="300"/>
    <n v="154.86000000000001"/>
    <n v="145.13999999999999"/>
    <x v="2"/>
  </r>
  <r>
    <s v="ORD0090"/>
    <n v="45611"/>
    <s v="Customer 158"/>
    <x v="3"/>
    <x v="3"/>
    <x v="10"/>
    <n v="5"/>
    <n v="66"/>
    <n v="330"/>
    <n v="213.63"/>
    <n v="116.37"/>
    <x v="1"/>
  </r>
  <r>
    <s v="ORD0091"/>
    <n v="45389"/>
    <s v="Customer 214"/>
    <x v="2"/>
    <x v="2"/>
    <x v="9"/>
    <n v="5"/>
    <n v="89"/>
    <n v="445"/>
    <n v="263.33999999999997"/>
    <n v="181.66"/>
    <x v="3"/>
  </r>
  <r>
    <s v="ORD0092"/>
    <n v="45396"/>
    <s v="Customer 82"/>
    <x v="0"/>
    <x v="2"/>
    <x v="12"/>
    <n v="5"/>
    <n v="75"/>
    <n v="375"/>
    <n v="212.22"/>
    <n v="162.78"/>
    <x v="3"/>
  </r>
  <r>
    <s v="ORD0093"/>
    <n v="45386"/>
    <s v="Customer 149"/>
    <x v="2"/>
    <x v="2"/>
    <x v="9"/>
    <n v="5"/>
    <n v="69"/>
    <n v="345"/>
    <n v="233.43"/>
    <n v="111.57"/>
    <x v="3"/>
  </r>
  <r>
    <s v="ORD0094"/>
    <n v="45612"/>
    <s v="Customer 95"/>
    <x v="3"/>
    <x v="2"/>
    <x v="9"/>
    <n v="4"/>
    <n v="20"/>
    <n v="80"/>
    <n v="56.32"/>
    <n v="23.68"/>
    <x v="1"/>
  </r>
  <r>
    <s v="ORD0095"/>
    <n v="45406"/>
    <s v="Customer 51"/>
    <x v="2"/>
    <x v="2"/>
    <x v="9"/>
    <n v="2"/>
    <n v="62"/>
    <n v="124"/>
    <n v="76.81"/>
    <n v="47.19"/>
    <x v="0"/>
  </r>
  <r>
    <s v="ORD0096"/>
    <n v="45635"/>
    <s v="Customer 99"/>
    <x v="0"/>
    <x v="3"/>
    <x v="10"/>
    <n v="5"/>
    <n v="72"/>
    <n v="360"/>
    <n v="267.8"/>
    <n v="92.2"/>
    <x v="2"/>
  </r>
  <r>
    <s v="ORD0097"/>
    <n v="45402"/>
    <s v="Customer 73"/>
    <x v="2"/>
    <x v="2"/>
    <x v="9"/>
    <n v="1"/>
    <n v="55"/>
    <n v="55"/>
    <n v="42.39"/>
    <n v="12.61"/>
    <x v="2"/>
  </r>
  <r>
    <s v="ORD0098"/>
    <n v="45452"/>
    <s v="Customer 205"/>
    <x v="3"/>
    <x v="1"/>
    <x v="7"/>
    <n v="4"/>
    <n v="85"/>
    <n v="340"/>
    <n v="178.79"/>
    <n v="161.21"/>
    <x v="0"/>
  </r>
  <r>
    <s v="ORD0099"/>
    <n v="45421"/>
    <s v="Customer 263"/>
    <x v="0"/>
    <x v="2"/>
    <x v="4"/>
    <n v="3"/>
    <n v="17"/>
    <n v="51"/>
    <n v="38.56"/>
    <n v="12.44"/>
    <x v="0"/>
  </r>
  <r>
    <s v="ORD0100"/>
    <n v="45513"/>
    <s v="Customer 97"/>
    <x v="0"/>
    <x v="3"/>
    <x v="5"/>
    <n v="2"/>
    <n v="58"/>
    <n v="116"/>
    <n v="58.77"/>
    <n v="57.23"/>
    <x v="1"/>
  </r>
  <r>
    <s v="ORD0101"/>
    <n v="45335"/>
    <s v="Customer 114"/>
    <x v="3"/>
    <x v="3"/>
    <x v="10"/>
    <n v="2"/>
    <n v="53"/>
    <n v="106"/>
    <n v="60.68"/>
    <n v="45.32"/>
    <x v="2"/>
  </r>
  <r>
    <s v="ORD0102"/>
    <n v="45573"/>
    <s v="Customer 40"/>
    <x v="1"/>
    <x v="3"/>
    <x v="5"/>
    <n v="1"/>
    <n v="25"/>
    <n v="25"/>
    <n v="13.15"/>
    <n v="11.85"/>
    <x v="0"/>
  </r>
  <r>
    <s v="ORD0103"/>
    <n v="45377"/>
    <s v="Customer 8"/>
    <x v="0"/>
    <x v="1"/>
    <x v="6"/>
    <n v="1"/>
    <n v="59"/>
    <n v="59"/>
    <n v="34.090000000000003"/>
    <n v="24.91"/>
    <x v="3"/>
  </r>
  <r>
    <s v="ORD0104"/>
    <n v="45469"/>
    <s v="Customer 92"/>
    <x v="3"/>
    <x v="0"/>
    <x v="2"/>
    <n v="3"/>
    <n v="34"/>
    <n v="102"/>
    <n v="67.61"/>
    <n v="34.39"/>
    <x v="1"/>
  </r>
  <r>
    <s v="ORD0105"/>
    <n v="45449"/>
    <s v="Customer 220"/>
    <x v="3"/>
    <x v="1"/>
    <x v="11"/>
    <n v="2"/>
    <n v="20"/>
    <n v="40"/>
    <n v="21.56"/>
    <n v="18.440000000000001"/>
    <x v="0"/>
  </r>
  <r>
    <s v="ORD0106"/>
    <n v="45311"/>
    <s v="Customer 92"/>
    <x v="2"/>
    <x v="3"/>
    <x v="10"/>
    <n v="1"/>
    <n v="40"/>
    <n v="40"/>
    <n v="25.22"/>
    <n v="14.78"/>
    <x v="2"/>
  </r>
  <r>
    <s v="ORD0107"/>
    <n v="45370"/>
    <s v="Customer 190"/>
    <x v="1"/>
    <x v="3"/>
    <x v="10"/>
    <n v="3"/>
    <n v="56"/>
    <n v="168"/>
    <n v="89.72"/>
    <n v="78.28"/>
    <x v="3"/>
  </r>
  <r>
    <s v="ORD0108"/>
    <n v="45355"/>
    <s v="Customer 81"/>
    <x v="3"/>
    <x v="3"/>
    <x v="10"/>
    <n v="5"/>
    <n v="32"/>
    <n v="160"/>
    <n v="112.76"/>
    <n v="47.24"/>
    <x v="1"/>
  </r>
  <r>
    <s v="ORD0109"/>
    <n v="45513"/>
    <s v="Customer 91"/>
    <x v="3"/>
    <x v="2"/>
    <x v="12"/>
    <n v="1"/>
    <n v="28"/>
    <n v="28"/>
    <n v="19.89"/>
    <n v="8.11"/>
    <x v="1"/>
  </r>
  <r>
    <s v="ORD0110"/>
    <n v="45335"/>
    <s v="Customer 122"/>
    <x v="1"/>
    <x v="0"/>
    <x v="2"/>
    <n v="4"/>
    <n v="42"/>
    <n v="168"/>
    <n v="87.62"/>
    <n v="80.38"/>
    <x v="3"/>
  </r>
  <r>
    <s v="ORD0111"/>
    <n v="45423"/>
    <s v="Customer 25"/>
    <x v="3"/>
    <x v="1"/>
    <x v="6"/>
    <n v="3"/>
    <n v="48"/>
    <n v="144"/>
    <n v="90.72"/>
    <n v="53.28"/>
    <x v="0"/>
  </r>
  <r>
    <s v="ORD0112"/>
    <n v="45349"/>
    <s v="Customer 271"/>
    <x v="3"/>
    <x v="1"/>
    <x v="6"/>
    <n v="2"/>
    <n v="75"/>
    <n v="150"/>
    <n v="102.13"/>
    <n v="47.87"/>
    <x v="1"/>
  </r>
  <r>
    <s v="ORD0113"/>
    <n v="45492"/>
    <s v="Customer 165"/>
    <x v="2"/>
    <x v="1"/>
    <x v="11"/>
    <n v="5"/>
    <n v="28"/>
    <n v="140"/>
    <n v="91.54"/>
    <n v="48.46"/>
    <x v="3"/>
  </r>
  <r>
    <s v="ORD0114"/>
    <n v="45536"/>
    <s v="Customer 32"/>
    <x v="2"/>
    <x v="3"/>
    <x v="10"/>
    <n v="1"/>
    <n v="76"/>
    <n v="76"/>
    <n v="46.54"/>
    <n v="29.46"/>
    <x v="1"/>
  </r>
  <r>
    <s v="ORD0115"/>
    <n v="45383"/>
    <s v="Customer 82"/>
    <x v="1"/>
    <x v="0"/>
    <x v="2"/>
    <n v="5"/>
    <n v="93"/>
    <n v="465"/>
    <n v="332.84"/>
    <n v="132.16"/>
    <x v="0"/>
  </r>
  <r>
    <s v="ORD0116"/>
    <n v="45412"/>
    <s v="Customer 8"/>
    <x v="2"/>
    <x v="2"/>
    <x v="9"/>
    <n v="5"/>
    <n v="20"/>
    <n v="100"/>
    <n v="78.41"/>
    <n v="21.59"/>
    <x v="2"/>
  </r>
  <r>
    <s v="ORD0117"/>
    <n v="45546"/>
    <s v="Customer 127"/>
    <x v="2"/>
    <x v="1"/>
    <x v="11"/>
    <n v="5"/>
    <n v="98"/>
    <n v="490"/>
    <n v="280.74"/>
    <n v="209.26"/>
    <x v="1"/>
  </r>
  <r>
    <s v="ORD0118"/>
    <n v="45294"/>
    <s v="Customer 24"/>
    <x v="2"/>
    <x v="2"/>
    <x v="9"/>
    <n v="5"/>
    <n v="47"/>
    <n v="235"/>
    <n v="187.49"/>
    <n v="47.51"/>
    <x v="1"/>
  </r>
  <r>
    <s v="ORD0119"/>
    <n v="45364"/>
    <s v="Customer 19"/>
    <x v="1"/>
    <x v="2"/>
    <x v="4"/>
    <n v="3"/>
    <n v="70"/>
    <n v="210"/>
    <n v="146.94"/>
    <n v="63.06"/>
    <x v="2"/>
  </r>
  <r>
    <s v="ORD0120"/>
    <n v="45468"/>
    <s v="Customer 172"/>
    <x v="0"/>
    <x v="1"/>
    <x v="7"/>
    <n v="3"/>
    <n v="54"/>
    <n v="162"/>
    <n v="126.59"/>
    <n v="35.409999999999997"/>
    <x v="0"/>
  </r>
  <r>
    <s v="ORD0121"/>
    <n v="45654"/>
    <s v="Customer 150"/>
    <x v="1"/>
    <x v="2"/>
    <x v="4"/>
    <n v="1"/>
    <n v="66"/>
    <n v="66"/>
    <n v="33.15"/>
    <n v="32.85"/>
    <x v="2"/>
  </r>
  <r>
    <s v="ORD0122"/>
    <n v="45509"/>
    <s v="Customer 6"/>
    <x v="0"/>
    <x v="3"/>
    <x v="8"/>
    <n v="3"/>
    <n v="40"/>
    <n v="120"/>
    <n v="67.72"/>
    <n v="52.28"/>
    <x v="3"/>
  </r>
  <r>
    <s v="ORD0123"/>
    <n v="45326"/>
    <s v="Customer 249"/>
    <x v="2"/>
    <x v="0"/>
    <x v="0"/>
    <n v="4"/>
    <n v="95"/>
    <n v="380"/>
    <n v="221.54"/>
    <n v="158.46"/>
    <x v="3"/>
  </r>
  <r>
    <s v="ORD0124"/>
    <n v="45591"/>
    <s v="Customer 204"/>
    <x v="2"/>
    <x v="2"/>
    <x v="9"/>
    <n v="1"/>
    <n v="84"/>
    <n v="84"/>
    <n v="52.06"/>
    <n v="31.94"/>
    <x v="1"/>
  </r>
  <r>
    <s v="ORD0125"/>
    <n v="45568"/>
    <s v="Customer 271"/>
    <x v="0"/>
    <x v="3"/>
    <x v="10"/>
    <n v="4"/>
    <n v="70"/>
    <n v="280"/>
    <n v="201.84"/>
    <n v="78.16"/>
    <x v="0"/>
  </r>
  <r>
    <s v="ORD0126"/>
    <n v="45407"/>
    <s v="Customer 68"/>
    <x v="2"/>
    <x v="0"/>
    <x v="0"/>
    <n v="3"/>
    <n v="53"/>
    <n v="159"/>
    <n v="118.84"/>
    <n v="40.159999999999997"/>
    <x v="0"/>
  </r>
  <r>
    <s v="ORD0127"/>
    <n v="45626"/>
    <s v="Customer 221"/>
    <x v="0"/>
    <x v="0"/>
    <x v="2"/>
    <n v="2"/>
    <n v="97"/>
    <n v="194"/>
    <n v="109.19"/>
    <n v="84.81"/>
    <x v="3"/>
  </r>
  <r>
    <s v="ORD0128"/>
    <n v="45317"/>
    <s v="Customer 160"/>
    <x v="2"/>
    <x v="2"/>
    <x v="4"/>
    <n v="1"/>
    <n v="80"/>
    <n v="80"/>
    <n v="44.87"/>
    <n v="35.130000000000003"/>
    <x v="0"/>
  </r>
  <r>
    <s v="ORD0129"/>
    <n v="45481"/>
    <s v="Customer 181"/>
    <x v="2"/>
    <x v="3"/>
    <x v="8"/>
    <n v="1"/>
    <n v="65"/>
    <n v="65"/>
    <n v="33.33"/>
    <n v="31.67"/>
    <x v="3"/>
  </r>
  <r>
    <s v="ORD0130"/>
    <n v="45506"/>
    <s v="Customer 137"/>
    <x v="1"/>
    <x v="2"/>
    <x v="4"/>
    <n v="1"/>
    <n v="92"/>
    <n v="92"/>
    <n v="50.95"/>
    <n v="41.05"/>
    <x v="3"/>
  </r>
  <r>
    <s v="ORD0131"/>
    <n v="45569"/>
    <s v="Customer 291"/>
    <x v="3"/>
    <x v="0"/>
    <x v="2"/>
    <n v="2"/>
    <n v="42"/>
    <n v="84"/>
    <n v="64.98"/>
    <n v="19.02"/>
    <x v="2"/>
  </r>
  <r>
    <s v="ORD0132"/>
    <n v="45619"/>
    <s v="Customer 255"/>
    <x v="1"/>
    <x v="3"/>
    <x v="10"/>
    <n v="3"/>
    <n v="35"/>
    <n v="105"/>
    <n v="75.39"/>
    <n v="29.61"/>
    <x v="0"/>
  </r>
  <r>
    <s v="ORD0133"/>
    <n v="45541"/>
    <s v="Customer 232"/>
    <x v="1"/>
    <x v="0"/>
    <x v="0"/>
    <n v="3"/>
    <n v="21"/>
    <n v="63"/>
    <n v="49.72"/>
    <n v="13.28"/>
    <x v="3"/>
  </r>
  <r>
    <s v="ORD0134"/>
    <n v="45409"/>
    <s v="Customer 250"/>
    <x v="3"/>
    <x v="0"/>
    <x v="2"/>
    <n v="3"/>
    <n v="39"/>
    <n v="117"/>
    <n v="70.38"/>
    <n v="46.62"/>
    <x v="2"/>
  </r>
  <r>
    <s v="ORD0135"/>
    <n v="45317"/>
    <s v="Customer 160"/>
    <x v="1"/>
    <x v="1"/>
    <x v="7"/>
    <n v="3"/>
    <n v="18"/>
    <n v="54"/>
    <n v="37.33"/>
    <n v="16.670000000000002"/>
    <x v="3"/>
  </r>
  <r>
    <s v="ORD0136"/>
    <n v="45325"/>
    <s v="Customer 12"/>
    <x v="1"/>
    <x v="2"/>
    <x v="12"/>
    <n v="3"/>
    <n v="11"/>
    <n v="33"/>
    <n v="17.14"/>
    <n v="15.86"/>
    <x v="2"/>
  </r>
  <r>
    <s v="ORD0137"/>
    <n v="45652"/>
    <s v="Customer 31"/>
    <x v="1"/>
    <x v="2"/>
    <x v="9"/>
    <n v="5"/>
    <n v="10"/>
    <n v="50"/>
    <n v="27.98"/>
    <n v="22.02"/>
    <x v="2"/>
  </r>
  <r>
    <s v="ORD0138"/>
    <n v="45379"/>
    <s v="Customer 245"/>
    <x v="1"/>
    <x v="3"/>
    <x v="8"/>
    <n v="2"/>
    <n v="51"/>
    <n v="102"/>
    <n v="63.77"/>
    <n v="38.229999999999997"/>
    <x v="2"/>
  </r>
  <r>
    <s v="ORD0139"/>
    <n v="45562"/>
    <s v="Customer 16"/>
    <x v="3"/>
    <x v="1"/>
    <x v="6"/>
    <n v="4"/>
    <n v="35"/>
    <n v="140"/>
    <n v="105.03"/>
    <n v="34.97"/>
    <x v="1"/>
  </r>
  <r>
    <s v="ORD0140"/>
    <n v="45508"/>
    <s v="Customer 250"/>
    <x v="0"/>
    <x v="1"/>
    <x v="7"/>
    <n v="4"/>
    <n v="56"/>
    <n v="224"/>
    <n v="150.5"/>
    <n v="73.5"/>
    <x v="0"/>
  </r>
  <r>
    <s v="ORD0141"/>
    <n v="45653"/>
    <s v="Customer 150"/>
    <x v="1"/>
    <x v="3"/>
    <x v="5"/>
    <n v="3"/>
    <n v="59"/>
    <n v="177"/>
    <n v="109.44"/>
    <n v="67.56"/>
    <x v="0"/>
  </r>
  <r>
    <s v="ORD0142"/>
    <n v="45574"/>
    <s v="Customer 180"/>
    <x v="3"/>
    <x v="3"/>
    <x v="10"/>
    <n v="5"/>
    <n v="22"/>
    <n v="110"/>
    <n v="61.89"/>
    <n v="48.11"/>
    <x v="3"/>
  </r>
  <r>
    <s v="ORD0143"/>
    <n v="45547"/>
    <s v="Customer 67"/>
    <x v="0"/>
    <x v="0"/>
    <x v="0"/>
    <n v="1"/>
    <n v="74"/>
    <n v="74"/>
    <n v="41.09"/>
    <n v="32.909999999999997"/>
    <x v="2"/>
  </r>
  <r>
    <s v="ORD0144"/>
    <n v="45625"/>
    <s v="Customer 90"/>
    <x v="1"/>
    <x v="2"/>
    <x v="4"/>
    <n v="1"/>
    <n v="21"/>
    <n v="21"/>
    <n v="15.41"/>
    <n v="5.59"/>
    <x v="1"/>
  </r>
  <r>
    <s v="ORD0145"/>
    <n v="45543"/>
    <s v="Customer 138"/>
    <x v="0"/>
    <x v="3"/>
    <x v="8"/>
    <n v="1"/>
    <n v="88"/>
    <n v="88"/>
    <n v="54.9"/>
    <n v="33.1"/>
    <x v="2"/>
  </r>
  <r>
    <s v="ORD0146"/>
    <n v="45512"/>
    <s v="Customer 184"/>
    <x v="3"/>
    <x v="1"/>
    <x v="3"/>
    <n v="3"/>
    <n v="16"/>
    <n v="48"/>
    <n v="28.6"/>
    <n v="19.399999999999999"/>
    <x v="0"/>
  </r>
  <r>
    <s v="ORD0147"/>
    <n v="45414"/>
    <s v="Customer 249"/>
    <x v="0"/>
    <x v="3"/>
    <x v="8"/>
    <n v="4"/>
    <n v="21"/>
    <n v="84"/>
    <n v="54.99"/>
    <n v="29.01"/>
    <x v="1"/>
  </r>
  <r>
    <s v="ORD0148"/>
    <n v="45364"/>
    <s v="Customer 28"/>
    <x v="0"/>
    <x v="0"/>
    <x v="2"/>
    <n v="2"/>
    <n v="66"/>
    <n v="132"/>
    <n v="94.69"/>
    <n v="37.31"/>
    <x v="0"/>
  </r>
  <r>
    <s v="ORD0149"/>
    <n v="45510"/>
    <s v="Customer 170"/>
    <x v="1"/>
    <x v="2"/>
    <x v="12"/>
    <n v="4"/>
    <n v="71"/>
    <n v="284"/>
    <n v="147.9"/>
    <n v="136.1"/>
    <x v="1"/>
  </r>
  <r>
    <s v="ORD0150"/>
    <n v="45626"/>
    <s v="Customer 74"/>
    <x v="0"/>
    <x v="1"/>
    <x v="6"/>
    <n v="4"/>
    <n v="14"/>
    <n v="56"/>
    <n v="36.01"/>
    <n v="19.989999999999998"/>
    <x v="2"/>
  </r>
  <r>
    <s v="ORD0151"/>
    <n v="45433"/>
    <s v="Customer 215"/>
    <x v="1"/>
    <x v="0"/>
    <x v="1"/>
    <n v="1"/>
    <n v="49"/>
    <n v="49"/>
    <n v="36.93"/>
    <n v="12.07"/>
    <x v="3"/>
  </r>
  <r>
    <s v="ORD0152"/>
    <n v="45434"/>
    <s v="Customer 113"/>
    <x v="0"/>
    <x v="1"/>
    <x v="7"/>
    <n v="3"/>
    <n v="89"/>
    <n v="267"/>
    <n v="162.86000000000001"/>
    <n v="104.14"/>
    <x v="0"/>
  </r>
  <r>
    <s v="ORD0153"/>
    <n v="45556"/>
    <s v="Customer 266"/>
    <x v="2"/>
    <x v="0"/>
    <x v="0"/>
    <n v="5"/>
    <n v="34"/>
    <n v="170"/>
    <n v="105.43"/>
    <n v="64.569999999999993"/>
    <x v="0"/>
  </r>
  <r>
    <s v="ORD0154"/>
    <n v="45558"/>
    <s v="Customer 68"/>
    <x v="2"/>
    <x v="0"/>
    <x v="0"/>
    <n v="3"/>
    <n v="28"/>
    <n v="84"/>
    <n v="53.99"/>
    <n v="30.01"/>
    <x v="0"/>
  </r>
  <r>
    <s v="ORD0155"/>
    <n v="45400"/>
    <s v="Customer 122"/>
    <x v="2"/>
    <x v="3"/>
    <x v="10"/>
    <n v="5"/>
    <n v="28"/>
    <n v="140"/>
    <n v="111.42"/>
    <n v="28.58"/>
    <x v="2"/>
  </r>
  <r>
    <s v="ORD0156"/>
    <n v="45348"/>
    <s v="Customer 229"/>
    <x v="2"/>
    <x v="1"/>
    <x v="6"/>
    <n v="3"/>
    <n v="24"/>
    <n v="72"/>
    <n v="57.22"/>
    <n v="14.78"/>
    <x v="3"/>
  </r>
  <r>
    <s v="ORD0157"/>
    <n v="45564"/>
    <s v="Customer 199"/>
    <x v="0"/>
    <x v="3"/>
    <x v="8"/>
    <n v="1"/>
    <n v="75"/>
    <n v="75"/>
    <n v="42.94"/>
    <n v="32.06"/>
    <x v="0"/>
  </r>
  <r>
    <s v="ORD0158"/>
    <n v="45650"/>
    <s v="Customer 27"/>
    <x v="0"/>
    <x v="3"/>
    <x v="5"/>
    <n v="1"/>
    <n v="90"/>
    <n v="90"/>
    <n v="46.82"/>
    <n v="43.18"/>
    <x v="1"/>
  </r>
  <r>
    <s v="ORD0159"/>
    <n v="45362"/>
    <s v="Customer 25"/>
    <x v="3"/>
    <x v="2"/>
    <x v="9"/>
    <n v="5"/>
    <n v="69"/>
    <n v="345"/>
    <n v="244.82"/>
    <n v="100.18"/>
    <x v="0"/>
  </r>
  <r>
    <s v="ORD0160"/>
    <n v="45557"/>
    <s v="Customer 214"/>
    <x v="3"/>
    <x v="1"/>
    <x v="7"/>
    <n v="4"/>
    <n v="44"/>
    <n v="176"/>
    <n v="134.16999999999999"/>
    <n v="41.83"/>
    <x v="0"/>
  </r>
  <r>
    <s v="ORD0161"/>
    <n v="45422"/>
    <s v="Customer 60"/>
    <x v="2"/>
    <x v="1"/>
    <x v="11"/>
    <n v="5"/>
    <n v="43"/>
    <n v="215"/>
    <n v="126.13"/>
    <n v="88.87"/>
    <x v="1"/>
  </r>
  <r>
    <s v="ORD0162"/>
    <n v="45450"/>
    <s v="Customer 114"/>
    <x v="2"/>
    <x v="1"/>
    <x v="3"/>
    <n v="2"/>
    <n v="54"/>
    <n v="108"/>
    <n v="57.87"/>
    <n v="50.13"/>
    <x v="1"/>
  </r>
  <r>
    <s v="ORD0163"/>
    <n v="45423"/>
    <s v="Customer 222"/>
    <x v="2"/>
    <x v="3"/>
    <x v="10"/>
    <n v="3"/>
    <n v="64"/>
    <n v="192"/>
    <n v="107.74"/>
    <n v="84.26"/>
    <x v="0"/>
  </r>
  <r>
    <s v="ORD0164"/>
    <n v="45561"/>
    <s v="Customer 97"/>
    <x v="0"/>
    <x v="3"/>
    <x v="8"/>
    <n v="4"/>
    <n v="90"/>
    <n v="360"/>
    <n v="188.89"/>
    <n v="171.11"/>
    <x v="1"/>
  </r>
  <r>
    <s v="ORD0165"/>
    <n v="45499"/>
    <s v="Customer 150"/>
    <x v="2"/>
    <x v="1"/>
    <x v="6"/>
    <n v="3"/>
    <n v="17"/>
    <n v="51"/>
    <n v="34.33"/>
    <n v="16.670000000000002"/>
    <x v="2"/>
  </r>
  <r>
    <s v="ORD0166"/>
    <n v="45298"/>
    <s v="Customer 288"/>
    <x v="0"/>
    <x v="3"/>
    <x v="10"/>
    <n v="1"/>
    <n v="50"/>
    <n v="50"/>
    <n v="37.11"/>
    <n v="12.89"/>
    <x v="3"/>
  </r>
  <r>
    <s v="ORD0167"/>
    <n v="45335"/>
    <s v="Customer 221"/>
    <x v="3"/>
    <x v="0"/>
    <x v="0"/>
    <n v="4"/>
    <n v="68"/>
    <n v="272"/>
    <n v="188.62"/>
    <n v="83.38"/>
    <x v="3"/>
  </r>
  <r>
    <s v="ORD0168"/>
    <n v="45362"/>
    <s v="Customer 257"/>
    <x v="3"/>
    <x v="1"/>
    <x v="3"/>
    <n v="3"/>
    <n v="63"/>
    <n v="189"/>
    <n v="121.77"/>
    <n v="67.23"/>
    <x v="1"/>
  </r>
  <r>
    <s v="ORD0169"/>
    <n v="45533"/>
    <s v="Customer 235"/>
    <x v="0"/>
    <x v="0"/>
    <x v="1"/>
    <n v="3"/>
    <n v="83"/>
    <n v="249"/>
    <n v="177.48"/>
    <n v="71.52"/>
    <x v="1"/>
  </r>
  <r>
    <s v="ORD0170"/>
    <n v="45589"/>
    <s v="Customer 213"/>
    <x v="2"/>
    <x v="1"/>
    <x v="11"/>
    <n v="2"/>
    <n v="86"/>
    <n v="172"/>
    <n v="124.53"/>
    <n v="47.47"/>
    <x v="3"/>
  </r>
  <r>
    <s v="ORD0171"/>
    <n v="45450"/>
    <s v="Customer 61"/>
    <x v="3"/>
    <x v="1"/>
    <x v="7"/>
    <n v="2"/>
    <n v="48"/>
    <n v="96"/>
    <n v="60.14"/>
    <n v="35.86"/>
    <x v="0"/>
  </r>
  <r>
    <s v="ORD0172"/>
    <n v="45310"/>
    <s v="Customer 107"/>
    <x v="0"/>
    <x v="2"/>
    <x v="9"/>
    <n v="3"/>
    <n v="80"/>
    <n v="240"/>
    <n v="181.15"/>
    <n v="58.85"/>
    <x v="2"/>
  </r>
  <r>
    <s v="ORD0173"/>
    <n v="45445"/>
    <s v="Customer 229"/>
    <x v="1"/>
    <x v="3"/>
    <x v="10"/>
    <n v="4"/>
    <n v="79"/>
    <n v="316"/>
    <n v="177.84"/>
    <n v="138.16"/>
    <x v="1"/>
  </r>
  <r>
    <s v="ORD0174"/>
    <n v="45369"/>
    <s v="Customer 166"/>
    <x v="0"/>
    <x v="0"/>
    <x v="0"/>
    <n v="4"/>
    <n v="49"/>
    <n v="196"/>
    <n v="111.4"/>
    <n v="84.6"/>
    <x v="1"/>
  </r>
  <r>
    <s v="ORD0175"/>
    <n v="45582"/>
    <s v="Customer 156"/>
    <x v="1"/>
    <x v="0"/>
    <x v="1"/>
    <n v="5"/>
    <n v="31"/>
    <n v="155"/>
    <n v="80.19"/>
    <n v="74.81"/>
    <x v="2"/>
  </r>
  <r>
    <s v="ORD0176"/>
    <n v="45555"/>
    <s v="Customer 237"/>
    <x v="3"/>
    <x v="1"/>
    <x v="7"/>
    <n v="2"/>
    <n v="10"/>
    <n v="20"/>
    <n v="10.71"/>
    <n v="9.2899999999999991"/>
    <x v="1"/>
  </r>
  <r>
    <s v="ORD0177"/>
    <n v="45450"/>
    <s v="Customer 296"/>
    <x v="3"/>
    <x v="3"/>
    <x v="5"/>
    <n v="5"/>
    <n v="80"/>
    <n v="400"/>
    <n v="303.58999999999997"/>
    <n v="96.41"/>
    <x v="0"/>
  </r>
  <r>
    <s v="ORD0178"/>
    <n v="45449"/>
    <s v="Customer 234"/>
    <x v="3"/>
    <x v="1"/>
    <x v="11"/>
    <n v="2"/>
    <n v="92"/>
    <n v="184"/>
    <n v="102.8"/>
    <n v="81.2"/>
    <x v="0"/>
  </r>
  <r>
    <s v="ORD0179"/>
    <n v="45540"/>
    <s v="Customer 222"/>
    <x v="1"/>
    <x v="0"/>
    <x v="2"/>
    <n v="1"/>
    <n v="52"/>
    <n v="52"/>
    <n v="29.16"/>
    <n v="22.84"/>
    <x v="0"/>
  </r>
  <r>
    <s v="ORD0180"/>
    <n v="45539"/>
    <s v="Customer 99"/>
    <x v="3"/>
    <x v="0"/>
    <x v="2"/>
    <n v="2"/>
    <n v="68"/>
    <n v="136"/>
    <n v="99.81"/>
    <n v="36.19"/>
    <x v="1"/>
  </r>
  <r>
    <s v="ORD0181"/>
    <n v="45295"/>
    <s v="Customer 113"/>
    <x v="0"/>
    <x v="2"/>
    <x v="4"/>
    <n v="2"/>
    <n v="69"/>
    <n v="138"/>
    <n v="91.48"/>
    <n v="46.52"/>
    <x v="2"/>
  </r>
  <r>
    <s v="ORD0182"/>
    <n v="45297"/>
    <s v="Customer 77"/>
    <x v="1"/>
    <x v="0"/>
    <x v="2"/>
    <n v="5"/>
    <n v="10"/>
    <n v="50"/>
    <n v="34.54"/>
    <n v="15.46"/>
    <x v="2"/>
  </r>
  <r>
    <s v="ORD0183"/>
    <n v="45603"/>
    <s v="Customer 104"/>
    <x v="1"/>
    <x v="1"/>
    <x v="11"/>
    <n v="4"/>
    <n v="96"/>
    <n v="384"/>
    <n v="289.22000000000003"/>
    <n v="94.78"/>
    <x v="3"/>
  </r>
  <r>
    <s v="ORD0184"/>
    <n v="45431"/>
    <s v="Customer 43"/>
    <x v="1"/>
    <x v="0"/>
    <x v="0"/>
    <n v="3"/>
    <n v="100"/>
    <n v="300"/>
    <n v="204.12"/>
    <n v="95.88"/>
    <x v="1"/>
  </r>
  <r>
    <s v="ORD0185"/>
    <n v="45462"/>
    <s v="Customer 70"/>
    <x v="1"/>
    <x v="0"/>
    <x v="2"/>
    <n v="3"/>
    <n v="62"/>
    <n v="186"/>
    <n v="144.75"/>
    <n v="41.25"/>
    <x v="2"/>
  </r>
  <r>
    <s v="ORD0186"/>
    <n v="45372"/>
    <s v="Customer 280"/>
    <x v="3"/>
    <x v="0"/>
    <x v="2"/>
    <n v="4"/>
    <n v="55"/>
    <n v="220"/>
    <n v="155.36000000000001"/>
    <n v="64.64"/>
    <x v="2"/>
  </r>
  <r>
    <s v="ORD0187"/>
    <n v="45459"/>
    <s v="Customer 151"/>
    <x v="2"/>
    <x v="2"/>
    <x v="4"/>
    <n v="1"/>
    <n v="89"/>
    <n v="89"/>
    <n v="47.75"/>
    <n v="41.25"/>
    <x v="3"/>
  </r>
  <r>
    <s v="ORD0188"/>
    <n v="45435"/>
    <s v="Customer 223"/>
    <x v="0"/>
    <x v="3"/>
    <x v="8"/>
    <n v="5"/>
    <n v="38"/>
    <n v="190"/>
    <n v="150.9"/>
    <n v="39.1"/>
    <x v="1"/>
  </r>
  <r>
    <s v="ORD0189"/>
    <n v="45595"/>
    <s v="Customer 285"/>
    <x v="3"/>
    <x v="2"/>
    <x v="9"/>
    <n v="2"/>
    <n v="57"/>
    <n v="114"/>
    <n v="61.32"/>
    <n v="52.68"/>
    <x v="2"/>
  </r>
  <r>
    <s v="ORD0190"/>
    <n v="45394"/>
    <s v="Customer 184"/>
    <x v="3"/>
    <x v="0"/>
    <x v="1"/>
    <n v="4"/>
    <n v="82"/>
    <n v="328"/>
    <n v="258.44"/>
    <n v="69.56"/>
    <x v="3"/>
  </r>
  <r>
    <s v="ORD0191"/>
    <n v="45298"/>
    <s v="Customer 209"/>
    <x v="3"/>
    <x v="2"/>
    <x v="12"/>
    <n v="1"/>
    <n v="51"/>
    <n v="51"/>
    <n v="32.92"/>
    <n v="18.079999999999998"/>
    <x v="2"/>
  </r>
  <r>
    <s v="ORD0192"/>
    <n v="45572"/>
    <s v="Customer 16"/>
    <x v="1"/>
    <x v="0"/>
    <x v="0"/>
    <n v="1"/>
    <n v="92"/>
    <n v="92"/>
    <n v="62.89"/>
    <n v="29.11"/>
    <x v="0"/>
  </r>
  <r>
    <s v="ORD0193"/>
    <n v="45421"/>
    <s v="Customer 113"/>
    <x v="0"/>
    <x v="2"/>
    <x v="4"/>
    <n v="3"/>
    <n v="43"/>
    <n v="129"/>
    <n v="95.97"/>
    <n v="33.03"/>
    <x v="0"/>
  </r>
  <r>
    <s v="ORD0194"/>
    <n v="45615"/>
    <s v="Customer 253"/>
    <x v="0"/>
    <x v="0"/>
    <x v="2"/>
    <n v="3"/>
    <n v="76"/>
    <n v="228"/>
    <n v="140.05000000000001"/>
    <n v="87.95"/>
    <x v="2"/>
  </r>
  <r>
    <s v="ORD0195"/>
    <n v="45539"/>
    <s v="Customer 24"/>
    <x v="0"/>
    <x v="2"/>
    <x v="12"/>
    <n v="4"/>
    <n v="33"/>
    <n v="132"/>
    <n v="100.67"/>
    <n v="31.33"/>
    <x v="1"/>
  </r>
  <r>
    <s v="ORD0196"/>
    <n v="45313"/>
    <s v="Customer 266"/>
    <x v="2"/>
    <x v="0"/>
    <x v="2"/>
    <n v="5"/>
    <n v="69"/>
    <n v="345"/>
    <n v="196.54"/>
    <n v="148.46"/>
    <x v="3"/>
  </r>
  <r>
    <s v="ORD0197"/>
    <n v="45301"/>
    <s v="Customer 56"/>
    <x v="3"/>
    <x v="2"/>
    <x v="12"/>
    <n v="4"/>
    <n v="16"/>
    <n v="64"/>
    <n v="50.01"/>
    <n v="13.99"/>
    <x v="0"/>
  </r>
  <r>
    <s v="ORD0198"/>
    <n v="45293"/>
    <s v="Customer 294"/>
    <x v="0"/>
    <x v="3"/>
    <x v="8"/>
    <n v="5"/>
    <n v="39"/>
    <n v="195"/>
    <n v="117.54"/>
    <n v="77.459999999999994"/>
    <x v="0"/>
  </r>
  <r>
    <s v="ORD0199"/>
    <n v="45419"/>
    <s v="Customer 43"/>
    <x v="2"/>
    <x v="2"/>
    <x v="12"/>
    <n v="5"/>
    <n v="61"/>
    <n v="305"/>
    <n v="185.74"/>
    <n v="119.26"/>
    <x v="3"/>
  </r>
  <r>
    <s v="ORD0200"/>
    <n v="45466"/>
    <s v="Customer 71"/>
    <x v="0"/>
    <x v="2"/>
    <x v="4"/>
    <n v="4"/>
    <n v="22"/>
    <n v="88"/>
    <n v="49.36"/>
    <n v="38.64"/>
    <x v="0"/>
  </r>
  <r>
    <s v="ORD0201"/>
    <n v="45398"/>
    <s v="Customer 39"/>
    <x v="3"/>
    <x v="0"/>
    <x v="1"/>
    <n v="1"/>
    <n v="57"/>
    <n v="57"/>
    <n v="33.49"/>
    <n v="23.51"/>
    <x v="0"/>
  </r>
  <r>
    <s v="ORD0202"/>
    <n v="45600"/>
    <s v="Customer 50"/>
    <x v="0"/>
    <x v="0"/>
    <x v="2"/>
    <n v="3"/>
    <n v="42"/>
    <n v="126"/>
    <n v="79.61"/>
    <n v="46.39"/>
    <x v="1"/>
  </r>
  <r>
    <s v="ORD0203"/>
    <n v="45442"/>
    <s v="Customer 83"/>
    <x v="0"/>
    <x v="0"/>
    <x v="2"/>
    <n v="2"/>
    <n v="30"/>
    <n v="60"/>
    <n v="34.74"/>
    <n v="25.26"/>
    <x v="0"/>
  </r>
  <r>
    <s v="ORD0204"/>
    <n v="45528"/>
    <s v="Customer 155"/>
    <x v="3"/>
    <x v="0"/>
    <x v="1"/>
    <n v="3"/>
    <n v="36"/>
    <n v="108"/>
    <n v="76.680000000000007"/>
    <n v="31.32"/>
    <x v="1"/>
  </r>
  <r>
    <s v="ORD0205"/>
    <n v="45594"/>
    <s v="Customer 183"/>
    <x v="1"/>
    <x v="2"/>
    <x v="4"/>
    <n v="1"/>
    <n v="20"/>
    <n v="20"/>
    <n v="14.61"/>
    <n v="5.39"/>
    <x v="2"/>
  </r>
  <r>
    <s v="ORD0206"/>
    <n v="45643"/>
    <s v="Customer 260"/>
    <x v="0"/>
    <x v="2"/>
    <x v="12"/>
    <n v="1"/>
    <n v="45"/>
    <n v="45"/>
    <n v="35.69"/>
    <n v="9.31"/>
    <x v="0"/>
  </r>
  <r>
    <s v="ORD0207"/>
    <n v="45567"/>
    <s v="Customer 18"/>
    <x v="1"/>
    <x v="3"/>
    <x v="5"/>
    <n v="5"/>
    <n v="13"/>
    <n v="65"/>
    <n v="49.39"/>
    <n v="15.61"/>
    <x v="0"/>
  </r>
  <r>
    <s v="ORD0208"/>
    <n v="45451"/>
    <s v="Customer 181"/>
    <x v="0"/>
    <x v="3"/>
    <x v="10"/>
    <n v="4"/>
    <n v="13"/>
    <n v="52"/>
    <n v="27.36"/>
    <n v="24.64"/>
    <x v="0"/>
  </r>
  <r>
    <s v="ORD0209"/>
    <n v="45328"/>
    <s v="Customer 151"/>
    <x v="1"/>
    <x v="0"/>
    <x v="1"/>
    <n v="4"/>
    <n v="78"/>
    <n v="312"/>
    <n v="189.74"/>
    <n v="122.26"/>
    <x v="0"/>
  </r>
  <r>
    <s v="ORD0210"/>
    <n v="45651"/>
    <s v="Customer 85"/>
    <x v="3"/>
    <x v="0"/>
    <x v="2"/>
    <n v="4"/>
    <n v="64"/>
    <n v="256"/>
    <n v="181.64"/>
    <n v="74.36"/>
    <x v="2"/>
  </r>
  <r>
    <s v="ORD0211"/>
    <n v="45447"/>
    <s v="Customer 248"/>
    <x v="3"/>
    <x v="3"/>
    <x v="10"/>
    <n v="5"/>
    <n v="70"/>
    <n v="350"/>
    <n v="250.65"/>
    <n v="99.35"/>
    <x v="0"/>
  </r>
  <r>
    <s v="ORD0212"/>
    <n v="45587"/>
    <s v="Customer 17"/>
    <x v="3"/>
    <x v="0"/>
    <x v="2"/>
    <n v="3"/>
    <n v="96"/>
    <n v="288"/>
    <n v="170.93"/>
    <n v="117.07"/>
    <x v="3"/>
  </r>
  <r>
    <s v="ORD0213"/>
    <n v="45604"/>
    <s v="Customer 151"/>
    <x v="3"/>
    <x v="2"/>
    <x v="4"/>
    <n v="2"/>
    <n v="20"/>
    <n v="40"/>
    <n v="27.69"/>
    <n v="12.31"/>
    <x v="2"/>
  </r>
  <r>
    <s v="ORD0214"/>
    <n v="45599"/>
    <s v="Customer 174"/>
    <x v="3"/>
    <x v="3"/>
    <x v="10"/>
    <n v="3"/>
    <n v="64"/>
    <n v="192"/>
    <n v="112.95"/>
    <n v="79.05"/>
    <x v="2"/>
  </r>
  <r>
    <s v="ORD0215"/>
    <n v="45564"/>
    <s v="Customer 25"/>
    <x v="1"/>
    <x v="1"/>
    <x v="6"/>
    <n v="4"/>
    <n v="93"/>
    <n v="372"/>
    <n v="221.67"/>
    <n v="150.33000000000001"/>
    <x v="1"/>
  </r>
  <r>
    <s v="ORD0216"/>
    <n v="45642"/>
    <s v="Customer 288"/>
    <x v="3"/>
    <x v="2"/>
    <x v="9"/>
    <n v="5"/>
    <n v="43"/>
    <n v="215"/>
    <n v="139.47999999999999"/>
    <n v="75.52"/>
    <x v="1"/>
  </r>
  <r>
    <s v="ORD0217"/>
    <n v="45521"/>
    <s v="Customer 162"/>
    <x v="3"/>
    <x v="2"/>
    <x v="12"/>
    <n v="3"/>
    <n v="33"/>
    <n v="99"/>
    <n v="53.1"/>
    <n v="45.9"/>
    <x v="0"/>
  </r>
  <r>
    <s v="ORD0218"/>
    <n v="45590"/>
    <s v="Customer 13"/>
    <x v="2"/>
    <x v="2"/>
    <x v="9"/>
    <n v="1"/>
    <n v="30"/>
    <n v="30"/>
    <n v="16.02"/>
    <n v="13.98"/>
    <x v="3"/>
  </r>
  <r>
    <s v="ORD0219"/>
    <n v="45373"/>
    <s v="Customer 286"/>
    <x v="2"/>
    <x v="3"/>
    <x v="10"/>
    <n v="3"/>
    <n v="78"/>
    <n v="234"/>
    <n v="167.8"/>
    <n v="66.2"/>
    <x v="0"/>
  </r>
  <r>
    <s v="ORD0220"/>
    <n v="45641"/>
    <s v="Customer 186"/>
    <x v="1"/>
    <x v="0"/>
    <x v="1"/>
    <n v="5"/>
    <n v="40"/>
    <n v="200"/>
    <n v="110.08"/>
    <n v="89.92"/>
    <x v="1"/>
  </r>
  <r>
    <s v="ORD0221"/>
    <n v="45474"/>
    <s v="Customer 137"/>
    <x v="2"/>
    <x v="0"/>
    <x v="2"/>
    <n v="1"/>
    <n v="29"/>
    <n v="29"/>
    <n v="16.920000000000002"/>
    <n v="12.08"/>
    <x v="3"/>
  </r>
  <r>
    <s v="ORD0222"/>
    <n v="45486"/>
    <s v="Customer 284"/>
    <x v="2"/>
    <x v="2"/>
    <x v="9"/>
    <n v="1"/>
    <n v="25"/>
    <n v="25"/>
    <n v="15.76"/>
    <n v="9.24"/>
    <x v="2"/>
  </r>
  <r>
    <s v="ORD0223"/>
    <n v="45568"/>
    <s v="Customer 151"/>
    <x v="0"/>
    <x v="1"/>
    <x v="3"/>
    <n v="4"/>
    <n v="39"/>
    <n v="156"/>
    <n v="80.569999999999993"/>
    <n v="75.430000000000007"/>
    <x v="3"/>
  </r>
  <r>
    <s v="ORD0224"/>
    <n v="45481"/>
    <s v="Customer 144"/>
    <x v="1"/>
    <x v="0"/>
    <x v="0"/>
    <n v="4"/>
    <n v="29"/>
    <n v="116"/>
    <n v="67.45"/>
    <n v="48.55"/>
    <x v="3"/>
  </r>
  <r>
    <s v="ORD0225"/>
    <n v="45544"/>
    <s v="Customer 169"/>
    <x v="3"/>
    <x v="3"/>
    <x v="10"/>
    <n v="5"/>
    <n v="62"/>
    <n v="310"/>
    <n v="212.91"/>
    <n v="97.09"/>
    <x v="1"/>
  </r>
  <r>
    <s v="ORD0226"/>
    <n v="45651"/>
    <s v="Customer 233"/>
    <x v="3"/>
    <x v="3"/>
    <x v="8"/>
    <n v="4"/>
    <n v="26"/>
    <n v="104"/>
    <n v="60.62"/>
    <n v="43.38"/>
    <x v="0"/>
  </r>
  <r>
    <s v="ORD0227"/>
    <n v="45621"/>
    <s v="Customer 131"/>
    <x v="1"/>
    <x v="2"/>
    <x v="12"/>
    <n v="2"/>
    <n v="30"/>
    <n v="60"/>
    <n v="47.19"/>
    <n v="12.81"/>
    <x v="2"/>
  </r>
  <r>
    <s v="ORD0228"/>
    <n v="45297"/>
    <s v="Customer 292"/>
    <x v="0"/>
    <x v="2"/>
    <x v="4"/>
    <n v="3"/>
    <n v="40"/>
    <n v="120"/>
    <n v="69.989999999999995"/>
    <n v="50.01"/>
    <x v="3"/>
  </r>
  <r>
    <s v="ORD0229"/>
    <n v="45401"/>
    <s v="Customer 279"/>
    <x v="1"/>
    <x v="0"/>
    <x v="0"/>
    <n v="3"/>
    <n v="52"/>
    <n v="156"/>
    <n v="100.6"/>
    <n v="55.4"/>
    <x v="3"/>
  </r>
  <r>
    <s v="ORD0230"/>
    <n v="45628"/>
    <s v="Customer 75"/>
    <x v="0"/>
    <x v="1"/>
    <x v="6"/>
    <n v="4"/>
    <n v="12"/>
    <n v="48"/>
    <n v="28.86"/>
    <n v="19.14"/>
    <x v="2"/>
  </r>
  <r>
    <s v="ORD0231"/>
    <n v="45446"/>
    <s v="Customer 136"/>
    <x v="1"/>
    <x v="3"/>
    <x v="10"/>
    <n v="2"/>
    <n v="36"/>
    <n v="72"/>
    <n v="47.33"/>
    <n v="24.67"/>
    <x v="0"/>
  </r>
  <r>
    <s v="ORD0232"/>
    <n v="45411"/>
    <s v="Customer 110"/>
    <x v="3"/>
    <x v="2"/>
    <x v="4"/>
    <n v="4"/>
    <n v="93"/>
    <n v="372"/>
    <n v="268.97000000000003"/>
    <n v="103.03"/>
    <x v="1"/>
  </r>
  <r>
    <s v="ORD0233"/>
    <n v="45505"/>
    <s v="Customer 63"/>
    <x v="0"/>
    <x v="2"/>
    <x v="9"/>
    <n v="2"/>
    <n v="64"/>
    <n v="128"/>
    <n v="96.36"/>
    <n v="31.64"/>
    <x v="3"/>
  </r>
  <r>
    <s v="ORD0234"/>
    <n v="45458"/>
    <s v="Customer 198"/>
    <x v="3"/>
    <x v="3"/>
    <x v="8"/>
    <n v="2"/>
    <n v="76"/>
    <n v="152"/>
    <n v="119.7"/>
    <n v="32.299999999999997"/>
    <x v="1"/>
  </r>
  <r>
    <s v="ORD0235"/>
    <n v="45333"/>
    <s v="Customer 233"/>
    <x v="1"/>
    <x v="1"/>
    <x v="3"/>
    <n v="3"/>
    <n v="56"/>
    <n v="168"/>
    <n v="94.35"/>
    <n v="73.650000000000006"/>
    <x v="3"/>
  </r>
  <r>
    <s v="ORD0236"/>
    <n v="45553"/>
    <s v="Customer 43"/>
    <x v="2"/>
    <x v="0"/>
    <x v="0"/>
    <n v="5"/>
    <n v="99"/>
    <n v="495"/>
    <n v="332.86"/>
    <n v="162.13999999999999"/>
    <x v="2"/>
  </r>
  <r>
    <s v="ORD0237"/>
    <n v="45583"/>
    <s v="Customer 164"/>
    <x v="3"/>
    <x v="2"/>
    <x v="4"/>
    <n v="2"/>
    <n v="57"/>
    <n v="114"/>
    <n v="81.66"/>
    <n v="32.340000000000003"/>
    <x v="0"/>
  </r>
  <r>
    <s v="ORD0238"/>
    <n v="45370"/>
    <s v="Customer 26"/>
    <x v="1"/>
    <x v="0"/>
    <x v="2"/>
    <n v="1"/>
    <n v="32"/>
    <n v="32"/>
    <n v="17.68"/>
    <n v="14.32"/>
    <x v="3"/>
  </r>
  <r>
    <s v="ORD0239"/>
    <n v="45600"/>
    <s v="Customer 8"/>
    <x v="1"/>
    <x v="3"/>
    <x v="5"/>
    <n v="4"/>
    <n v="44"/>
    <n v="176"/>
    <n v="111.43"/>
    <n v="64.569999999999993"/>
    <x v="0"/>
  </r>
  <r>
    <s v="ORD0240"/>
    <n v="45627"/>
    <s v="Customer 30"/>
    <x v="3"/>
    <x v="0"/>
    <x v="0"/>
    <n v="5"/>
    <n v="65"/>
    <n v="325"/>
    <n v="182.91"/>
    <n v="142.09"/>
    <x v="3"/>
  </r>
  <r>
    <s v="ORD0241"/>
    <n v="45473"/>
    <s v="Customer 236"/>
    <x v="3"/>
    <x v="2"/>
    <x v="9"/>
    <n v="1"/>
    <n v="99"/>
    <n v="99"/>
    <n v="70.23"/>
    <n v="28.77"/>
    <x v="0"/>
  </r>
  <r>
    <s v="ORD0242"/>
    <n v="45653"/>
    <s v="Customer 84"/>
    <x v="2"/>
    <x v="1"/>
    <x v="6"/>
    <n v="5"/>
    <n v="28"/>
    <n v="140"/>
    <n v="107.19"/>
    <n v="32.81"/>
    <x v="1"/>
  </r>
  <r>
    <s v="ORD0243"/>
    <n v="45457"/>
    <s v="Customer 177"/>
    <x v="3"/>
    <x v="3"/>
    <x v="10"/>
    <n v="5"/>
    <n v="77"/>
    <n v="385"/>
    <n v="228.07"/>
    <n v="156.93"/>
    <x v="0"/>
  </r>
  <r>
    <s v="ORD0244"/>
    <n v="45527"/>
    <s v="Customer 138"/>
    <x v="1"/>
    <x v="0"/>
    <x v="0"/>
    <n v="2"/>
    <n v="92"/>
    <n v="184"/>
    <n v="124.11"/>
    <n v="59.89"/>
    <x v="1"/>
  </r>
  <r>
    <s v="ORD0245"/>
    <n v="45374"/>
    <s v="Customer 211"/>
    <x v="3"/>
    <x v="1"/>
    <x v="3"/>
    <n v="3"/>
    <n v="90"/>
    <n v="270"/>
    <n v="208.1"/>
    <n v="61.9"/>
    <x v="2"/>
  </r>
  <r>
    <s v="ORD0246"/>
    <n v="45605"/>
    <s v="Customer 261"/>
    <x v="3"/>
    <x v="3"/>
    <x v="8"/>
    <n v="3"/>
    <n v="69"/>
    <n v="207"/>
    <n v="130.09"/>
    <n v="76.91"/>
    <x v="1"/>
  </r>
  <r>
    <s v="ORD0247"/>
    <n v="45563"/>
    <s v="Customer 236"/>
    <x v="2"/>
    <x v="2"/>
    <x v="4"/>
    <n v="1"/>
    <n v="54"/>
    <n v="54"/>
    <n v="36.65"/>
    <n v="17.350000000000001"/>
    <x v="1"/>
  </r>
  <r>
    <s v="ORD0248"/>
    <n v="45480"/>
    <s v="Customer 67"/>
    <x v="3"/>
    <x v="0"/>
    <x v="1"/>
    <n v="3"/>
    <n v="48"/>
    <n v="144"/>
    <n v="77.89"/>
    <n v="66.11"/>
    <x v="2"/>
  </r>
  <r>
    <s v="ORD0249"/>
    <n v="45454"/>
    <s v="Customer 286"/>
    <x v="2"/>
    <x v="3"/>
    <x v="5"/>
    <n v="1"/>
    <n v="17"/>
    <n v="17"/>
    <n v="10.33"/>
    <n v="6.67"/>
    <x v="1"/>
  </r>
  <r>
    <s v="ORD0250"/>
    <n v="45656"/>
    <s v="Customer 138"/>
    <x v="2"/>
    <x v="1"/>
    <x v="3"/>
    <n v="3"/>
    <n v="57"/>
    <n v="171"/>
    <n v="135.94999999999999"/>
    <n v="35.049999999999997"/>
    <x v="0"/>
  </r>
  <r>
    <s v="ORD0251"/>
    <n v="45341"/>
    <s v="Customer 88"/>
    <x v="2"/>
    <x v="1"/>
    <x v="6"/>
    <n v="3"/>
    <n v="23"/>
    <n v="69"/>
    <n v="54.94"/>
    <n v="14.06"/>
    <x v="1"/>
  </r>
  <r>
    <s v="ORD0252"/>
    <n v="45361"/>
    <s v="Customer 12"/>
    <x v="3"/>
    <x v="0"/>
    <x v="1"/>
    <n v="3"/>
    <n v="52"/>
    <n v="156"/>
    <n v="119.8"/>
    <n v="36.200000000000003"/>
    <x v="2"/>
  </r>
  <r>
    <s v="ORD0253"/>
    <n v="45475"/>
    <s v="Customer 165"/>
    <x v="1"/>
    <x v="1"/>
    <x v="3"/>
    <n v="5"/>
    <n v="70"/>
    <n v="350"/>
    <n v="241.14"/>
    <n v="108.86"/>
    <x v="1"/>
  </r>
  <r>
    <s v="ORD0254"/>
    <n v="45564"/>
    <s v="Customer 5"/>
    <x v="0"/>
    <x v="3"/>
    <x v="8"/>
    <n v="5"/>
    <n v="38"/>
    <n v="190"/>
    <n v="120.26"/>
    <n v="69.739999999999995"/>
    <x v="2"/>
  </r>
  <r>
    <s v="ORD0255"/>
    <n v="45424"/>
    <s v="Customer 51"/>
    <x v="1"/>
    <x v="0"/>
    <x v="0"/>
    <n v="2"/>
    <n v="63"/>
    <n v="126"/>
    <n v="83.22"/>
    <n v="42.78"/>
    <x v="3"/>
  </r>
  <r>
    <s v="ORD0256"/>
    <n v="45645"/>
    <s v="Customer 113"/>
    <x v="0"/>
    <x v="0"/>
    <x v="2"/>
    <n v="1"/>
    <n v="98"/>
    <n v="98"/>
    <n v="65.95"/>
    <n v="32.049999999999997"/>
    <x v="0"/>
  </r>
  <r>
    <s v="ORD0257"/>
    <n v="45540"/>
    <s v="Customer 46"/>
    <x v="0"/>
    <x v="0"/>
    <x v="0"/>
    <n v="2"/>
    <n v="54"/>
    <n v="108"/>
    <n v="54.56"/>
    <n v="53.44"/>
    <x v="0"/>
  </r>
  <r>
    <s v="ORD0258"/>
    <n v="45654"/>
    <s v="Customer 78"/>
    <x v="2"/>
    <x v="0"/>
    <x v="1"/>
    <n v="2"/>
    <n v="60"/>
    <n v="120"/>
    <n v="61.34"/>
    <n v="58.66"/>
    <x v="2"/>
  </r>
  <r>
    <s v="ORD0259"/>
    <n v="45614"/>
    <s v="Customer 184"/>
    <x v="0"/>
    <x v="0"/>
    <x v="1"/>
    <n v="1"/>
    <n v="11"/>
    <n v="11"/>
    <n v="8.43"/>
    <n v="2.57"/>
    <x v="0"/>
  </r>
  <r>
    <s v="ORD0260"/>
    <n v="45414"/>
    <s v="Customer 104"/>
    <x v="3"/>
    <x v="0"/>
    <x v="2"/>
    <n v="4"/>
    <n v="80"/>
    <n v="320"/>
    <n v="189.72"/>
    <n v="130.28"/>
    <x v="1"/>
  </r>
  <r>
    <s v="ORD0261"/>
    <n v="45367"/>
    <s v="Customer 250"/>
    <x v="3"/>
    <x v="0"/>
    <x v="2"/>
    <n v="5"/>
    <n v="66"/>
    <n v="330"/>
    <n v="178.8"/>
    <n v="151.19999999999999"/>
    <x v="2"/>
  </r>
  <r>
    <s v="ORD0262"/>
    <n v="45329"/>
    <s v="Customer 37"/>
    <x v="2"/>
    <x v="3"/>
    <x v="8"/>
    <n v="4"/>
    <n v="84"/>
    <n v="336"/>
    <n v="202.74"/>
    <n v="133.26"/>
    <x v="1"/>
  </r>
  <r>
    <s v="ORD0263"/>
    <n v="45301"/>
    <s v="Customer 267"/>
    <x v="2"/>
    <x v="3"/>
    <x v="8"/>
    <n v="1"/>
    <n v="77"/>
    <n v="77"/>
    <n v="58.98"/>
    <n v="18.02"/>
    <x v="3"/>
  </r>
  <r>
    <s v="ORD0264"/>
    <n v="45573"/>
    <s v="Customer 109"/>
    <x v="1"/>
    <x v="0"/>
    <x v="0"/>
    <n v="1"/>
    <n v="35"/>
    <n v="35"/>
    <n v="25.88"/>
    <n v="9.1199999999999992"/>
    <x v="0"/>
  </r>
  <r>
    <s v="ORD0265"/>
    <n v="45438"/>
    <s v="Customer 37"/>
    <x v="2"/>
    <x v="0"/>
    <x v="2"/>
    <n v="2"/>
    <n v="52"/>
    <n v="104"/>
    <n v="56.82"/>
    <n v="47.18"/>
    <x v="1"/>
  </r>
  <r>
    <s v="ORD0266"/>
    <n v="45544"/>
    <s v="Customer 296"/>
    <x v="0"/>
    <x v="1"/>
    <x v="3"/>
    <n v="3"/>
    <n v="48"/>
    <n v="144"/>
    <n v="102.61"/>
    <n v="41.39"/>
    <x v="0"/>
  </r>
  <r>
    <s v="ORD0267"/>
    <n v="45487"/>
    <s v="Customer 215"/>
    <x v="2"/>
    <x v="0"/>
    <x v="1"/>
    <n v="2"/>
    <n v="62"/>
    <n v="124"/>
    <n v="68.069999999999993"/>
    <n v="55.93"/>
    <x v="0"/>
  </r>
  <r>
    <s v="ORD0268"/>
    <n v="45631"/>
    <s v="Customer 283"/>
    <x v="3"/>
    <x v="2"/>
    <x v="12"/>
    <n v="4"/>
    <n v="21"/>
    <n v="84"/>
    <n v="63.84"/>
    <n v="20.16"/>
    <x v="3"/>
  </r>
  <r>
    <s v="ORD0269"/>
    <n v="45616"/>
    <s v="Customer 156"/>
    <x v="3"/>
    <x v="2"/>
    <x v="4"/>
    <n v="5"/>
    <n v="30"/>
    <n v="150"/>
    <n v="78.349999999999994"/>
    <n v="71.650000000000006"/>
    <x v="0"/>
  </r>
  <r>
    <s v="ORD0270"/>
    <n v="45424"/>
    <s v="Customer 56"/>
    <x v="0"/>
    <x v="1"/>
    <x v="7"/>
    <n v="3"/>
    <n v="89"/>
    <n v="267"/>
    <n v="136.28"/>
    <n v="130.72"/>
    <x v="2"/>
  </r>
  <r>
    <s v="ORD0271"/>
    <n v="45318"/>
    <s v="Customer 237"/>
    <x v="2"/>
    <x v="2"/>
    <x v="9"/>
    <n v="3"/>
    <n v="79"/>
    <n v="237"/>
    <n v="153.4"/>
    <n v="83.6"/>
    <x v="0"/>
  </r>
  <r>
    <s v="ORD0272"/>
    <n v="45497"/>
    <s v="Customer 273"/>
    <x v="2"/>
    <x v="2"/>
    <x v="9"/>
    <n v="5"/>
    <n v="61"/>
    <n v="305"/>
    <n v="238.28"/>
    <n v="66.72"/>
    <x v="1"/>
  </r>
  <r>
    <s v="ORD0273"/>
    <n v="45385"/>
    <s v="Customer 54"/>
    <x v="1"/>
    <x v="3"/>
    <x v="5"/>
    <n v="5"/>
    <n v="93"/>
    <n v="465"/>
    <n v="354.75"/>
    <n v="110.25"/>
    <x v="1"/>
  </r>
  <r>
    <s v="ORD0274"/>
    <n v="45492"/>
    <s v="Customer 206"/>
    <x v="1"/>
    <x v="0"/>
    <x v="0"/>
    <n v="3"/>
    <n v="69"/>
    <n v="207"/>
    <n v="109.86"/>
    <n v="97.14"/>
    <x v="3"/>
  </r>
  <r>
    <s v="ORD0275"/>
    <n v="45476"/>
    <s v="Customer 101"/>
    <x v="0"/>
    <x v="2"/>
    <x v="4"/>
    <n v="3"/>
    <n v="55"/>
    <n v="165"/>
    <n v="113.88"/>
    <n v="51.12"/>
    <x v="3"/>
  </r>
  <r>
    <s v="ORD0276"/>
    <n v="45420"/>
    <s v="Customer 196"/>
    <x v="2"/>
    <x v="2"/>
    <x v="9"/>
    <n v="1"/>
    <n v="21"/>
    <n v="21"/>
    <n v="11.17"/>
    <n v="9.83"/>
    <x v="2"/>
  </r>
  <r>
    <s v="ORD0277"/>
    <n v="45405"/>
    <s v="Customer 77"/>
    <x v="2"/>
    <x v="2"/>
    <x v="9"/>
    <n v="2"/>
    <n v="96"/>
    <n v="192"/>
    <n v="150.79"/>
    <n v="41.21"/>
    <x v="1"/>
  </r>
  <r>
    <s v="ORD0278"/>
    <n v="45468"/>
    <s v="Customer 135"/>
    <x v="2"/>
    <x v="1"/>
    <x v="3"/>
    <n v="3"/>
    <n v="100"/>
    <n v="300"/>
    <n v="157.1"/>
    <n v="142.9"/>
    <x v="0"/>
  </r>
  <r>
    <s v="ORD0279"/>
    <n v="45556"/>
    <s v="Customer 60"/>
    <x v="1"/>
    <x v="1"/>
    <x v="7"/>
    <n v="3"/>
    <n v="17"/>
    <n v="51"/>
    <n v="27.35"/>
    <n v="23.65"/>
    <x v="1"/>
  </r>
  <r>
    <s v="ORD0280"/>
    <n v="45520"/>
    <s v="Customer 33"/>
    <x v="1"/>
    <x v="2"/>
    <x v="12"/>
    <n v="5"/>
    <n v="48"/>
    <n v="240"/>
    <n v="170.91"/>
    <n v="69.09"/>
    <x v="0"/>
  </r>
  <r>
    <s v="ORD0281"/>
    <n v="45595"/>
    <s v="Customer 38"/>
    <x v="2"/>
    <x v="3"/>
    <x v="5"/>
    <n v="1"/>
    <n v="17"/>
    <n v="17"/>
    <n v="10.79"/>
    <n v="6.21"/>
    <x v="3"/>
  </r>
  <r>
    <s v="ORD0282"/>
    <n v="45607"/>
    <s v="Customer 81"/>
    <x v="3"/>
    <x v="0"/>
    <x v="2"/>
    <n v="2"/>
    <n v="40"/>
    <n v="80"/>
    <n v="44.58"/>
    <n v="35.42"/>
    <x v="1"/>
  </r>
  <r>
    <s v="ORD0283"/>
    <n v="45602"/>
    <s v="Customer 192"/>
    <x v="2"/>
    <x v="1"/>
    <x v="7"/>
    <n v="2"/>
    <n v="23"/>
    <n v="46"/>
    <n v="26.91"/>
    <n v="19.09"/>
    <x v="0"/>
  </r>
  <r>
    <s v="ORD0284"/>
    <n v="45610"/>
    <s v="Customer 91"/>
    <x v="0"/>
    <x v="3"/>
    <x v="10"/>
    <n v="3"/>
    <n v="82"/>
    <n v="246"/>
    <n v="131.63999999999999"/>
    <n v="114.36"/>
    <x v="1"/>
  </r>
  <r>
    <s v="ORD0285"/>
    <n v="45354"/>
    <s v="Customer 181"/>
    <x v="0"/>
    <x v="3"/>
    <x v="8"/>
    <n v="4"/>
    <n v="91"/>
    <n v="364"/>
    <n v="240.89"/>
    <n v="123.11"/>
    <x v="1"/>
  </r>
  <r>
    <s v="ORD0286"/>
    <n v="45573"/>
    <s v="Customer 176"/>
    <x v="1"/>
    <x v="2"/>
    <x v="12"/>
    <n v="1"/>
    <n v="81"/>
    <n v="81"/>
    <n v="63.51"/>
    <n v="17.489999999999998"/>
    <x v="0"/>
  </r>
  <r>
    <s v="ORD0287"/>
    <n v="45446"/>
    <s v="Customer 244"/>
    <x v="0"/>
    <x v="2"/>
    <x v="9"/>
    <n v="2"/>
    <n v="49"/>
    <n v="98"/>
    <n v="52.84"/>
    <n v="45.16"/>
    <x v="2"/>
  </r>
  <r>
    <s v="ORD0288"/>
    <n v="45538"/>
    <s v="Customer 72"/>
    <x v="1"/>
    <x v="0"/>
    <x v="1"/>
    <n v="3"/>
    <n v="47"/>
    <n v="141"/>
    <n v="77.81"/>
    <n v="63.19"/>
    <x v="3"/>
  </r>
  <r>
    <s v="ORD0289"/>
    <n v="45317"/>
    <s v="Customer 86"/>
    <x v="2"/>
    <x v="0"/>
    <x v="2"/>
    <n v="5"/>
    <n v="58"/>
    <n v="290"/>
    <n v="207.24"/>
    <n v="82.76"/>
    <x v="1"/>
  </r>
  <r>
    <s v="ORD0290"/>
    <n v="45522"/>
    <s v="Customer 150"/>
    <x v="2"/>
    <x v="3"/>
    <x v="8"/>
    <n v="2"/>
    <n v="46"/>
    <n v="92"/>
    <n v="72.3"/>
    <n v="19.7"/>
    <x v="3"/>
  </r>
  <r>
    <s v="ORD0291"/>
    <n v="45527"/>
    <s v="Customer 182"/>
    <x v="1"/>
    <x v="0"/>
    <x v="0"/>
    <n v="3"/>
    <n v="80"/>
    <n v="240"/>
    <n v="187.26"/>
    <n v="52.74"/>
    <x v="3"/>
  </r>
  <r>
    <s v="ORD0292"/>
    <n v="45609"/>
    <s v="Customer 69"/>
    <x v="2"/>
    <x v="1"/>
    <x v="11"/>
    <n v="5"/>
    <n v="36"/>
    <n v="180"/>
    <n v="143.85"/>
    <n v="36.15"/>
    <x v="0"/>
  </r>
  <r>
    <s v="ORD0293"/>
    <n v="45569"/>
    <s v="Customer 236"/>
    <x v="0"/>
    <x v="2"/>
    <x v="9"/>
    <n v="2"/>
    <n v="34"/>
    <n v="68"/>
    <n v="52.01"/>
    <n v="15.99"/>
    <x v="3"/>
  </r>
  <r>
    <s v="ORD0294"/>
    <n v="45466"/>
    <s v="Customer 31"/>
    <x v="2"/>
    <x v="2"/>
    <x v="4"/>
    <n v="4"/>
    <n v="42"/>
    <n v="168"/>
    <n v="118.3"/>
    <n v="49.7"/>
    <x v="1"/>
  </r>
  <r>
    <s v="ORD0295"/>
    <n v="45296"/>
    <s v="Customer 113"/>
    <x v="1"/>
    <x v="1"/>
    <x v="3"/>
    <n v="2"/>
    <n v="38"/>
    <n v="76"/>
    <n v="52.97"/>
    <n v="23.03"/>
    <x v="0"/>
  </r>
  <r>
    <s v="ORD0296"/>
    <n v="45302"/>
    <s v="Customer 251"/>
    <x v="2"/>
    <x v="3"/>
    <x v="5"/>
    <n v="2"/>
    <n v="87"/>
    <n v="174"/>
    <n v="97.52"/>
    <n v="76.48"/>
    <x v="0"/>
  </r>
  <r>
    <s v="ORD0297"/>
    <n v="45320"/>
    <s v="Customer 101"/>
    <x v="2"/>
    <x v="0"/>
    <x v="0"/>
    <n v="5"/>
    <n v="86"/>
    <n v="430"/>
    <n v="265.08"/>
    <n v="164.92"/>
    <x v="0"/>
  </r>
  <r>
    <s v="ORD0298"/>
    <n v="45321"/>
    <s v="Customer 254"/>
    <x v="2"/>
    <x v="1"/>
    <x v="7"/>
    <n v="5"/>
    <n v="52"/>
    <n v="260"/>
    <n v="143"/>
    <n v="117"/>
    <x v="0"/>
  </r>
  <r>
    <s v="ORD0299"/>
    <n v="45656"/>
    <s v="Customer 146"/>
    <x v="3"/>
    <x v="0"/>
    <x v="2"/>
    <n v="4"/>
    <n v="20"/>
    <n v="80"/>
    <n v="60.86"/>
    <n v="19.14"/>
    <x v="1"/>
  </r>
  <r>
    <s v="ORD0300"/>
    <n v="45475"/>
    <s v="Customer 3"/>
    <x v="2"/>
    <x v="1"/>
    <x v="7"/>
    <n v="5"/>
    <n v="90"/>
    <n v="450"/>
    <n v="275.79000000000002"/>
    <n v="174.21"/>
    <x v="3"/>
  </r>
  <r>
    <s v="ORD0301"/>
    <n v="45422"/>
    <s v="Customer 39"/>
    <x v="2"/>
    <x v="3"/>
    <x v="8"/>
    <n v="1"/>
    <n v="42"/>
    <n v="42"/>
    <n v="25.32"/>
    <n v="16.68"/>
    <x v="2"/>
  </r>
  <r>
    <s v="ORD0302"/>
    <n v="45391"/>
    <s v="Customer 112"/>
    <x v="0"/>
    <x v="2"/>
    <x v="4"/>
    <n v="3"/>
    <n v="95"/>
    <n v="285"/>
    <n v="157.76"/>
    <n v="127.24"/>
    <x v="0"/>
  </r>
  <r>
    <s v="ORD0303"/>
    <n v="45396"/>
    <s v="Customer 3"/>
    <x v="1"/>
    <x v="3"/>
    <x v="5"/>
    <n v="3"/>
    <n v="23"/>
    <n v="69"/>
    <n v="47.06"/>
    <n v="21.94"/>
    <x v="3"/>
  </r>
  <r>
    <s v="ORD0304"/>
    <n v="45522"/>
    <s v="Customer 61"/>
    <x v="0"/>
    <x v="0"/>
    <x v="1"/>
    <n v="4"/>
    <n v="46"/>
    <n v="184"/>
    <n v="142.80000000000001"/>
    <n v="41.2"/>
    <x v="2"/>
  </r>
  <r>
    <s v="ORD0305"/>
    <n v="45503"/>
    <s v="Customer 291"/>
    <x v="1"/>
    <x v="0"/>
    <x v="0"/>
    <n v="2"/>
    <n v="19"/>
    <n v="38"/>
    <n v="27.12"/>
    <n v="10.88"/>
    <x v="0"/>
  </r>
  <r>
    <s v="ORD0306"/>
    <n v="45593"/>
    <s v="Customer 85"/>
    <x v="2"/>
    <x v="2"/>
    <x v="4"/>
    <n v="5"/>
    <n v="25"/>
    <n v="125"/>
    <n v="88.35"/>
    <n v="36.65"/>
    <x v="1"/>
  </r>
  <r>
    <s v="ORD0307"/>
    <n v="45473"/>
    <s v="Customer 185"/>
    <x v="3"/>
    <x v="3"/>
    <x v="8"/>
    <n v="2"/>
    <n v="88"/>
    <n v="176"/>
    <n v="110.36"/>
    <n v="65.64"/>
    <x v="0"/>
  </r>
  <r>
    <s v="ORD0308"/>
    <n v="45654"/>
    <s v="Customer 199"/>
    <x v="3"/>
    <x v="0"/>
    <x v="0"/>
    <n v="5"/>
    <n v="84"/>
    <n v="420"/>
    <n v="322.93"/>
    <n v="97.07"/>
    <x v="3"/>
  </r>
  <r>
    <s v="ORD0309"/>
    <n v="45637"/>
    <s v="Customer 136"/>
    <x v="1"/>
    <x v="1"/>
    <x v="3"/>
    <n v="4"/>
    <n v="12"/>
    <n v="48"/>
    <n v="35.67"/>
    <n v="12.33"/>
    <x v="3"/>
  </r>
  <r>
    <s v="ORD0310"/>
    <n v="45605"/>
    <s v="Customer 86"/>
    <x v="0"/>
    <x v="2"/>
    <x v="9"/>
    <n v="5"/>
    <n v="32"/>
    <n v="160"/>
    <n v="116.28"/>
    <n v="43.72"/>
    <x v="0"/>
  </r>
  <r>
    <s v="ORD0311"/>
    <n v="45346"/>
    <s v="Customer 268"/>
    <x v="1"/>
    <x v="1"/>
    <x v="3"/>
    <n v="1"/>
    <n v="43"/>
    <n v="43"/>
    <n v="25"/>
    <n v="18"/>
    <x v="3"/>
  </r>
  <r>
    <s v="ORD0312"/>
    <n v="45647"/>
    <s v="Customer 216"/>
    <x v="2"/>
    <x v="0"/>
    <x v="2"/>
    <n v="3"/>
    <n v="65"/>
    <n v="195"/>
    <n v="110.02"/>
    <n v="84.98"/>
    <x v="0"/>
  </r>
  <r>
    <s v="ORD0313"/>
    <n v="45532"/>
    <s v="Customer 168"/>
    <x v="3"/>
    <x v="0"/>
    <x v="2"/>
    <n v="3"/>
    <n v="45"/>
    <n v="135"/>
    <n v="71.56"/>
    <n v="63.44"/>
    <x v="1"/>
  </r>
  <r>
    <s v="ORD0314"/>
    <n v="45625"/>
    <s v="Customer 221"/>
    <x v="1"/>
    <x v="2"/>
    <x v="9"/>
    <n v="2"/>
    <n v="25"/>
    <n v="50"/>
    <n v="29.02"/>
    <n v="20.98"/>
    <x v="2"/>
  </r>
  <r>
    <s v="ORD0315"/>
    <n v="45574"/>
    <s v="Customer 132"/>
    <x v="3"/>
    <x v="2"/>
    <x v="12"/>
    <n v="5"/>
    <n v="55"/>
    <n v="275"/>
    <n v="211.59"/>
    <n v="63.41"/>
    <x v="0"/>
  </r>
  <r>
    <s v="ORD0316"/>
    <n v="45611"/>
    <s v="Customer 260"/>
    <x v="2"/>
    <x v="3"/>
    <x v="5"/>
    <n v="4"/>
    <n v="55"/>
    <n v="220"/>
    <n v="126.27"/>
    <n v="93.73"/>
    <x v="3"/>
  </r>
  <r>
    <s v="ORD0317"/>
    <n v="45479"/>
    <s v="Customer 203"/>
    <x v="0"/>
    <x v="2"/>
    <x v="4"/>
    <n v="4"/>
    <n v="31"/>
    <n v="124"/>
    <n v="77.69"/>
    <n v="46.31"/>
    <x v="0"/>
  </r>
  <r>
    <s v="ORD0318"/>
    <n v="45410"/>
    <s v="Customer 244"/>
    <x v="0"/>
    <x v="2"/>
    <x v="12"/>
    <n v="5"/>
    <n v="61"/>
    <n v="305"/>
    <n v="169.43"/>
    <n v="135.57"/>
    <x v="1"/>
  </r>
  <r>
    <s v="ORD0319"/>
    <n v="45604"/>
    <s v="Customer 159"/>
    <x v="2"/>
    <x v="0"/>
    <x v="1"/>
    <n v="1"/>
    <n v="63"/>
    <n v="63"/>
    <n v="36.94"/>
    <n v="26.06"/>
    <x v="2"/>
  </r>
  <r>
    <s v="ORD0320"/>
    <n v="45640"/>
    <s v="Customer 4"/>
    <x v="3"/>
    <x v="0"/>
    <x v="0"/>
    <n v="5"/>
    <n v="70"/>
    <n v="350"/>
    <n v="175.36"/>
    <n v="174.64"/>
    <x v="0"/>
  </r>
  <r>
    <s v="ORD0321"/>
    <n v="45461"/>
    <s v="Customer 3"/>
    <x v="3"/>
    <x v="0"/>
    <x v="2"/>
    <n v="4"/>
    <n v="92"/>
    <n v="368"/>
    <n v="263.23"/>
    <n v="104.77"/>
    <x v="3"/>
  </r>
  <r>
    <s v="ORD0322"/>
    <n v="45423"/>
    <s v="Customer 179"/>
    <x v="2"/>
    <x v="3"/>
    <x v="5"/>
    <n v="1"/>
    <n v="22"/>
    <n v="22"/>
    <n v="16.649999999999999"/>
    <n v="5.35"/>
    <x v="2"/>
  </r>
  <r>
    <s v="ORD0323"/>
    <n v="45382"/>
    <s v="Customer 162"/>
    <x v="2"/>
    <x v="1"/>
    <x v="7"/>
    <n v="3"/>
    <n v="65"/>
    <n v="195"/>
    <n v="101.56"/>
    <n v="93.44"/>
    <x v="3"/>
  </r>
  <r>
    <s v="ORD0324"/>
    <n v="45365"/>
    <s v="Customer 240"/>
    <x v="0"/>
    <x v="0"/>
    <x v="2"/>
    <n v="4"/>
    <n v="10"/>
    <n v="40"/>
    <n v="21.55"/>
    <n v="18.45"/>
    <x v="3"/>
  </r>
  <r>
    <s v="ORD0325"/>
    <n v="45461"/>
    <s v="Customer 142"/>
    <x v="1"/>
    <x v="2"/>
    <x v="9"/>
    <n v="5"/>
    <n v="89"/>
    <n v="445"/>
    <n v="318.58999999999997"/>
    <n v="126.41"/>
    <x v="0"/>
  </r>
  <r>
    <s v="ORD0326"/>
    <n v="45299"/>
    <s v="Customer 251"/>
    <x v="0"/>
    <x v="3"/>
    <x v="8"/>
    <n v="4"/>
    <n v="64"/>
    <n v="256"/>
    <n v="149.54"/>
    <n v="106.46"/>
    <x v="1"/>
  </r>
  <r>
    <s v="ORD0327"/>
    <n v="45357"/>
    <s v="Customer 237"/>
    <x v="1"/>
    <x v="1"/>
    <x v="3"/>
    <n v="2"/>
    <n v="22"/>
    <n v="44"/>
    <n v="27.47"/>
    <n v="16.53"/>
    <x v="3"/>
  </r>
  <r>
    <s v="ORD0328"/>
    <n v="45422"/>
    <s v="Customer 300"/>
    <x v="0"/>
    <x v="2"/>
    <x v="9"/>
    <n v="1"/>
    <n v="95"/>
    <n v="95"/>
    <n v="60.08"/>
    <n v="34.92"/>
    <x v="3"/>
  </r>
  <r>
    <s v="ORD0329"/>
    <n v="45429"/>
    <s v="Customer 99"/>
    <x v="0"/>
    <x v="0"/>
    <x v="0"/>
    <n v="4"/>
    <n v="56"/>
    <n v="224"/>
    <n v="162.97999999999999"/>
    <n v="61.02"/>
    <x v="2"/>
  </r>
  <r>
    <s v="ORD0330"/>
    <n v="45498"/>
    <s v="Customer 65"/>
    <x v="1"/>
    <x v="1"/>
    <x v="6"/>
    <n v="2"/>
    <n v="67"/>
    <n v="134"/>
    <n v="82.08"/>
    <n v="51.92"/>
    <x v="1"/>
  </r>
  <r>
    <s v="ORD0331"/>
    <n v="45551"/>
    <s v="Customer 296"/>
    <x v="2"/>
    <x v="2"/>
    <x v="12"/>
    <n v="5"/>
    <n v="77"/>
    <n v="385"/>
    <n v="289.89"/>
    <n v="95.11"/>
    <x v="3"/>
  </r>
  <r>
    <s v="ORD0332"/>
    <n v="45532"/>
    <s v="Customer 111"/>
    <x v="2"/>
    <x v="1"/>
    <x v="6"/>
    <n v="1"/>
    <n v="55"/>
    <n v="55"/>
    <n v="40.1"/>
    <n v="14.9"/>
    <x v="3"/>
  </r>
  <r>
    <s v="ORD0333"/>
    <n v="45442"/>
    <s v="Customer 211"/>
    <x v="3"/>
    <x v="2"/>
    <x v="9"/>
    <n v="1"/>
    <n v="25"/>
    <n v="25"/>
    <n v="12.98"/>
    <n v="12.02"/>
    <x v="3"/>
  </r>
  <r>
    <s v="ORD0334"/>
    <n v="45530"/>
    <s v="Customer 258"/>
    <x v="0"/>
    <x v="0"/>
    <x v="1"/>
    <n v="3"/>
    <n v="76"/>
    <n v="228"/>
    <n v="134.66"/>
    <n v="93.34"/>
    <x v="0"/>
  </r>
  <r>
    <s v="ORD0335"/>
    <n v="45583"/>
    <s v="Customer 291"/>
    <x v="1"/>
    <x v="1"/>
    <x v="7"/>
    <n v="4"/>
    <n v="28"/>
    <n v="112"/>
    <n v="82.16"/>
    <n v="29.84"/>
    <x v="3"/>
  </r>
  <r>
    <s v="ORD0336"/>
    <n v="45316"/>
    <s v="Customer 53"/>
    <x v="0"/>
    <x v="2"/>
    <x v="4"/>
    <n v="5"/>
    <n v="81"/>
    <n v="405"/>
    <n v="220.37"/>
    <n v="184.63"/>
    <x v="1"/>
  </r>
  <r>
    <s v="ORD0337"/>
    <n v="45416"/>
    <s v="Customer 152"/>
    <x v="2"/>
    <x v="2"/>
    <x v="9"/>
    <n v="4"/>
    <n v="30"/>
    <n v="120"/>
    <n v="67.62"/>
    <n v="52.38"/>
    <x v="2"/>
  </r>
  <r>
    <s v="ORD0338"/>
    <n v="45460"/>
    <s v="Customer 117"/>
    <x v="2"/>
    <x v="3"/>
    <x v="8"/>
    <n v="5"/>
    <n v="29"/>
    <n v="145"/>
    <n v="87.3"/>
    <n v="57.7"/>
    <x v="3"/>
  </r>
  <r>
    <s v="ORD0339"/>
    <n v="45375"/>
    <s v="Customer 222"/>
    <x v="0"/>
    <x v="2"/>
    <x v="9"/>
    <n v="5"/>
    <n v="72"/>
    <n v="360"/>
    <n v="190.6"/>
    <n v="169.4"/>
    <x v="2"/>
  </r>
  <r>
    <s v="ORD0340"/>
    <n v="45351"/>
    <s v="Customer 247"/>
    <x v="2"/>
    <x v="3"/>
    <x v="8"/>
    <n v="2"/>
    <n v="30"/>
    <n v="60"/>
    <n v="43.72"/>
    <n v="16.28"/>
    <x v="1"/>
  </r>
  <r>
    <s v="ORD0341"/>
    <n v="45424"/>
    <s v="Customer 36"/>
    <x v="0"/>
    <x v="3"/>
    <x v="5"/>
    <n v="3"/>
    <n v="10"/>
    <n v="30"/>
    <n v="19.690000000000001"/>
    <n v="10.31"/>
    <x v="2"/>
  </r>
  <r>
    <s v="ORD0342"/>
    <n v="45313"/>
    <s v="Customer 16"/>
    <x v="3"/>
    <x v="2"/>
    <x v="9"/>
    <n v="2"/>
    <n v="55"/>
    <n v="110"/>
    <n v="63.75"/>
    <n v="46.25"/>
    <x v="2"/>
  </r>
  <r>
    <s v="ORD0343"/>
    <n v="45570"/>
    <s v="Customer 35"/>
    <x v="1"/>
    <x v="0"/>
    <x v="2"/>
    <n v="2"/>
    <n v="94"/>
    <n v="188"/>
    <n v="140.84"/>
    <n v="47.16"/>
    <x v="2"/>
  </r>
  <r>
    <s v="ORD0344"/>
    <n v="45607"/>
    <s v="Customer 65"/>
    <x v="1"/>
    <x v="2"/>
    <x v="9"/>
    <n v="3"/>
    <n v="69"/>
    <n v="207"/>
    <n v="164.35"/>
    <n v="42.65"/>
    <x v="3"/>
  </r>
  <r>
    <s v="ORD0345"/>
    <n v="45608"/>
    <s v="Customer 129"/>
    <x v="0"/>
    <x v="3"/>
    <x v="5"/>
    <n v="4"/>
    <n v="13"/>
    <n v="52"/>
    <n v="33.01"/>
    <n v="18.989999999999998"/>
    <x v="0"/>
  </r>
  <r>
    <s v="ORD0346"/>
    <n v="45452"/>
    <s v="Customer 84"/>
    <x v="3"/>
    <x v="1"/>
    <x v="3"/>
    <n v="1"/>
    <n v="57"/>
    <n v="57"/>
    <n v="40.25"/>
    <n v="16.75"/>
    <x v="1"/>
  </r>
  <r>
    <s v="ORD0347"/>
    <n v="45622"/>
    <s v="Customer 208"/>
    <x v="1"/>
    <x v="1"/>
    <x v="11"/>
    <n v="1"/>
    <n v="62"/>
    <n v="62"/>
    <n v="45.58"/>
    <n v="16.420000000000002"/>
    <x v="2"/>
  </r>
  <r>
    <s v="ORD0348"/>
    <n v="45381"/>
    <s v="Customer 189"/>
    <x v="2"/>
    <x v="1"/>
    <x v="7"/>
    <n v="2"/>
    <n v="32"/>
    <n v="64"/>
    <n v="37.21"/>
    <n v="26.79"/>
    <x v="3"/>
  </r>
  <r>
    <s v="ORD0349"/>
    <n v="45313"/>
    <s v="Customer 121"/>
    <x v="1"/>
    <x v="2"/>
    <x v="12"/>
    <n v="2"/>
    <n v="52"/>
    <n v="104"/>
    <n v="56.26"/>
    <n v="47.74"/>
    <x v="2"/>
  </r>
  <r>
    <s v="ORD0350"/>
    <n v="45460"/>
    <s v="Customer 1"/>
    <x v="1"/>
    <x v="0"/>
    <x v="2"/>
    <n v="1"/>
    <n v="34"/>
    <n v="34"/>
    <n v="17.11"/>
    <n v="16.89"/>
    <x v="0"/>
  </r>
  <r>
    <s v="ORD0351"/>
    <n v="45455"/>
    <s v="Customer 216"/>
    <x v="3"/>
    <x v="1"/>
    <x v="6"/>
    <n v="2"/>
    <n v="96"/>
    <n v="192"/>
    <n v="143.6"/>
    <n v="48.4"/>
    <x v="3"/>
  </r>
  <r>
    <s v="ORD0352"/>
    <n v="45611"/>
    <s v="Customer 205"/>
    <x v="0"/>
    <x v="0"/>
    <x v="0"/>
    <n v="1"/>
    <n v="86"/>
    <n v="86"/>
    <n v="47.33"/>
    <n v="38.67"/>
    <x v="0"/>
  </r>
  <r>
    <s v="ORD0353"/>
    <n v="45409"/>
    <s v="Customer 109"/>
    <x v="3"/>
    <x v="1"/>
    <x v="11"/>
    <n v="1"/>
    <n v="73"/>
    <n v="73"/>
    <n v="45.2"/>
    <n v="27.8"/>
    <x v="3"/>
  </r>
  <r>
    <s v="ORD0354"/>
    <n v="45343"/>
    <s v="Customer 281"/>
    <x v="0"/>
    <x v="2"/>
    <x v="9"/>
    <n v="1"/>
    <n v="59"/>
    <n v="59"/>
    <n v="36.369999999999997"/>
    <n v="22.63"/>
    <x v="2"/>
  </r>
  <r>
    <s v="ORD0355"/>
    <n v="45498"/>
    <s v="Customer 185"/>
    <x v="2"/>
    <x v="2"/>
    <x v="4"/>
    <n v="1"/>
    <n v="80"/>
    <n v="80"/>
    <n v="42.77"/>
    <n v="37.229999999999997"/>
    <x v="3"/>
  </r>
  <r>
    <s v="ORD0356"/>
    <n v="45477"/>
    <s v="Customer 162"/>
    <x v="2"/>
    <x v="3"/>
    <x v="5"/>
    <n v="2"/>
    <n v="66"/>
    <n v="132"/>
    <n v="71.290000000000006"/>
    <n v="60.71"/>
    <x v="1"/>
  </r>
  <r>
    <s v="ORD0357"/>
    <n v="45532"/>
    <s v="Customer 244"/>
    <x v="1"/>
    <x v="1"/>
    <x v="7"/>
    <n v="2"/>
    <n v="94"/>
    <n v="188"/>
    <n v="117.75"/>
    <n v="70.25"/>
    <x v="2"/>
  </r>
  <r>
    <s v="ORD0358"/>
    <n v="45322"/>
    <s v="Customer 135"/>
    <x v="0"/>
    <x v="3"/>
    <x v="8"/>
    <n v="1"/>
    <n v="69"/>
    <n v="69"/>
    <n v="48.24"/>
    <n v="20.76"/>
    <x v="3"/>
  </r>
  <r>
    <s v="ORD0359"/>
    <n v="45448"/>
    <s v="Customer 259"/>
    <x v="1"/>
    <x v="0"/>
    <x v="2"/>
    <n v="3"/>
    <n v="84"/>
    <n v="252"/>
    <n v="163.21"/>
    <n v="88.79"/>
    <x v="2"/>
  </r>
  <r>
    <s v="ORD0360"/>
    <n v="45606"/>
    <s v="Customer 242"/>
    <x v="3"/>
    <x v="0"/>
    <x v="0"/>
    <n v="3"/>
    <n v="69"/>
    <n v="207"/>
    <n v="120.17"/>
    <n v="86.83"/>
    <x v="1"/>
  </r>
  <r>
    <s v="ORD0361"/>
    <n v="45369"/>
    <s v="Customer 188"/>
    <x v="1"/>
    <x v="2"/>
    <x v="9"/>
    <n v="4"/>
    <n v="43"/>
    <n v="172"/>
    <n v="100.01"/>
    <n v="71.989999999999995"/>
    <x v="2"/>
  </r>
  <r>
    <s v="ORD0362"/>
    <n v="45474"/>
    <s v="Customer 84"/>
    <x v="2"/>
    <x v="3"/>
    <x v="5"/>
    <n v="2"/>
    <n v="20"/>
    <n v="40"/>
    <n v="29.4"/>
    <n v="10.6"/>
    <x v="2"/>
  </r>
  <r>
    <s v="ORD0363"/>
    <n v="45644"/>
    <s v="Customer 83"/>
    <x v="0"/>
    <x v="0"/>
    <x v="1"/>
    <n v="4"/>
    <n v="27"/>
    <n v="108"/>
    <n v="55.63"/>
    <n v="52.37"/>
    <x v="0"/>
  </r>
  <r>
    <s v="ORD0364"/>
    <n v="45334"/>
    <s v="Customer 96"/>
    <x v="2"/>
    <x v="2"/>
    <x v="4"/>
    <n v="4"/>
    <n v="34"/>
    <n v="136"/>
    <n v="93.5"/>
    <n v="42.5"/>
    <x v="1"/>
  </r>
  <r>
    <s v="ORD0365"/>
    <n v="45466"/>
    <s v="Customer 17"/>
    <x v="0"/>
    <x v="0"/>
    <x v="2"/>
    <n v="1"/>
    <n v="19"/>
    <n v="19"/>
    <n v="10.83"/>
    <n v="8.17"/>
    <x v="3"/>
  </r>
  <r>
    <s v="ORD0366"/>
    <n v="45304"/>
    <s v="Customer 12"/>
    <x v="1"/>
    <x v="3"/>
    <x v="5"/>
    <n v="2"/>
    <n v="94"/>
    <n v="188"/>
    <n v="144.37"/>
    <n v="43.63"/>
    <x v="0"/>
  </r>
  <r>
    <s v="ORD0367"/>
    <n v="45508"/>
    <s v="Customer 70"/>
    <x v="2"/>
    <x v="0"/>
    <x v="1"/>
    <n v="4"/>
    <n v="66"/>
    <n v="264"/>
    <n v="209.19"/>
    <n v="54.81"/>
    <x v="3"/>
  </r>
  <r>
    <s v="ORD0368"/>
    <n v="45335"/>
    <s v="Customer 52"/>
    <x v="1"/>
    <x v="3"/>
    <x v="10"/>
    <n v="4"/>
    <n v="37"/>
    <n v="148"/>
    <n v="74.44"/>
    <n v="73.56"/>
    <x v="1"/>
  </r>
  <r>
    <s v="ORD0369"/>
    <n v="45359"/>
    <s v="Customer 151"/>
    <x v="0"/>
    <x v="0"/>
    <x v="1"/>
    <n v="1"/>
    <n v="35"/>
    <n v="35"/>
    <n v="19.14"/>
    <n v="15.86"/>
    <x v="0"/>
  </r>
  <r>
    <s v="ORD0370"/>
    <n v="45343"/>
    <s v="Customer 290"/>
    <x v="2"/>
    <x v="0"/>
    <x v="1"/>
    <n v="5"/>
    <n v="51"/>
    <n v="255"/>
    <n v="141.87"/>
    <n v="113.13"/>
    <x v="2"/>
  </r>
  <r>
    <s v="ORD0371"/>
    <n v="45295"/>
    <s v="Customer 265"/>
    <x v="0"/>
    <x v="1"/>
    <x v="3"/>
    <n v="5"/>
    <n v="27"/>
    <n v="135"/>
    <n v="107.2"/>
    <n v="27.8"/>
    <x v="2"/>
  </r>
  <r>
    <s v="ORD0372"/>
    <n v="45613"/>
    <s v="Customer 49"/>
    <x v="3"/>
    <x v="1"/>
    <x v="6"/>
    <n v="3"/>
    <n v="12"/>
    <n v="36"/>
    <n v="20.34"/>
    <n v="15.66"/>
    <x v="1"/>
  </r>
  <r>
    <s v="ORD0373"/>
    <n v="45367"/>
    <s v="Customer 64"/>
    <x v="3"/>
    <x v="3"/>
    <x v="8"/>
    <n v="2"/>
    <n v="88"/>
    <n v="176"/>
    <n v="109.78"/>
    <n v="66.22"/>
    <x v="3"/>
  </r>
  <r>
    <s v="ORD0374"/>
    <n v="45357"/>
    <s v="Customer 190"/>
    <x v="2"/>
    <x v="1"/>
    <x v="3"/>
    <n v="4"/>
    <n v="49"/>
    <n v="196"/>
    <n v="126.22"/>
    <n v="69.78"/>
    <x v="3"/>
  </r>
  <r>
    <s v="ORD0375"/>
    <n v="45355"/>
    <s v="Customer 193"/>
    <x v="1"/>
    <x v="2"/>
    <x v="12"/>
    <n v="2"/>
    <n v="16"/>
    <n v="32"/>
    <n v="17.920000000000002"/>
    <n v="14.08"/>
    <x v="2"/>
  </r>
  <r>
    <s v="ORD0376"/>
    <n v="45372"/>
    <s v="Customer 186"/>
    <x v="1"/>
    <x v="3"/>
    <x v="5"/>
    <n v="2"/>
    <n v="20"/>
    <n v="40"/>
    <n v="28.73"/>
    <n v="11.27"/>
    <x v="2"/>
  </r>
  <r>
    <s v="ORD0377"/>
    <n v="45614"/>
    <s v="Customer 63"/>
    <x v="3"/>
    <x v="2"/>
    <x v="12"/>
    <n v="3"/>
    <n v="20"/>
    <n v="60"/>
    <n v="33.33"/>
    <n v="26.67"/>
    <x v="0"/>
  </r>
  <r>
    <s v="ORD0378"/>
    <n v="45327"/>
    <s v="Customer 269"/>
    <x v="0"/>
    <x v="0"/>
    <x v="1"/>
    <n v="4"/>
    <n v="61"/>
    <n v="244"/>
    <n v="174.33"/>
    <n v="69.67"/>
    <x v="3"/>
  </r>
  <r>
    <s v="ORD0379"/>
    <n v="45299"/>
    <s v="Customer 181"/>
    <x v="3"/>
    <x v="2"/>
    <x v="4"/>
    <n v="4"/>
    <n v="65"/>
    <n v="260"/>
    <n v="183.36"/>
    <n v="76.64"/>
    <x v="3"/>
  </r>
  <r>
    <s v="ORD0380"/>
    <n v="45340"/>
    <s v="Customer 235"/>
    <x v="0"/>
    <x v="3"/>
    <x v="5"/>
    <n v="4"/>
    <n v="63"/>
    <n v="252"/>
    <n v="161.63"/>
    <n v="90.37"/>
    <x v="0"/>
  </r>
  <r>
    <s v="ORD0381"/>
    <n v="45644"/>
    <s v="Customer 100"/>
    <x v="3"/>
    <x v="3"/>
    <x v="5"/>
    <n v="4"/>
    <n v="88"/>
    <n v="352"/>
    <n v="201.54"/>
    <n v="150.46"/>
    <x v="3"/>
  </r>
  <r>
    <s v="ORD0382"/>
    <n v="45652"/>
    <s v="Customer 134"/>
    <x v="1"/>
    <x v="0"/>
    <x v="1"/>
    <n v="5"/>
    <n v="75"/>
    <n v="375"/>
    <n v="280.98"/>
    <n v="94.02"/>
    <x v="1"/>
  </r>
  <r>
    <s v="ORD0383"/>
    <n v="45434"/>
    <s v="Customer 271"/>
    <x v="2"/>
    <x v="1"/>
    <x v="6"/>
    <n v="3"/>
    <n v="92"/>
    <n v="276"/>
    <n v="170.25"/>
    <n v="105.75"/>
    <x v="0"/>
  </r>
  <r>
    <s v="ORD0384"/>
    <n v="45393"/>
    <s v="Customer 149"/>
    <x v="2"/>
    <x v="1"/>
    <x v="7"/>
    <n v="3"/>
    <n v="23"/>
    <n v="69"/>
    <n v="44.72"/>
    <n v="24.28"/>
    <x v="2"/>
  </r>
  <r>
    <s v="ORD0385"/>
    <n v="45656"/>
    <s v="Customer 147"/>
    <x v="3"/>
    <x v="2"/>
    <x v="12"/>
    <n v="1"/>
    <n v="83"/>
    <n v="83"/>
    <n v="49"/>
    <n v="34"/>
    <x v="3"/>
  </r>
  <r>
    <s v="ORD0386"/>
    <n v="45398"/>
    <s v="Customer 179"/>
    <x v="1"/>
    <x v="1"/>
    <x v="11"/>
    <n v="5"/>
    <n v="39"/>
    <n v="195"/>
    <n v="146.93"/>
    <n v="48.07"/>
    <x v="1"/>
  </r>
  <r>
    <s v="ORD0387"/>
    <n v="45529"/>
    <s v="Customer 299"/>
    <x v="3"/>
    <x v="2"/>
    <x v="4"/>
    <n v="1"/>
    <n v="44"/>
    <n v="44"/>
    <n v="31.54"/>
    <n v="12.46"/>
    <x v="2"/>
  </r>
  <r>
    <s v="ORD0388"/>
    <n v="45513"/>
    <s v="Customer 102"/>
    <x v="2"/>
    <x v="0"/>
    <x v="0"/>
    <n v="4"/>
    <n v="82"/>
    <n v="328"/>
    <n v="221.48"/>
    <n v="106.52"/>
    <x v="0"/>
  </r>
  <r>
    <s v="ORD0389"/>
    <n v="45358"/>
    <s v="Customer 67"/>
    <x v="3"/>
    <x v="2"/>
    <x v="12"/>
    <n v="2"/>
    <n v="71"/>
    <n v="142"/>
    <n v="95.54"/>
    <n v="46.46"/>
    <x v="3"/>
  </r>
  <r>
    <s v="ORD0390"/>
    <n v="45300"/>
    <s v="Customer 239"/>
    <x v="2"/>
    <x v="3"/>
    <x v="10"/>
    <n v="5"/>
    <n v="45"/>
    <n v="225"/>
    <n v="175.43"/>
    <n v="49.57"/>
    <x v="3"/>
  </r>
  <r>
    <s v="ORD0391"/>
    <n v="45540"/>
    <s v="Customer 87"/>
    <x v="3"/>
    <x v="3"/>
    <x v="5"/>
    <n v="2"/>
    <n v="94"/>
    <n v="188"/>
    <n v="119.29"/>
    <n v="68.709999999999994"/>
    <x v="1"/>
  </r>
  <r>
    <s v="ORD0392"/>
    <n v="45432"/>
    <s v="Customer 268"/>
    <x v="1"/>
    <x v="2"/>
    <x v="4"/>
    <n v="5"/>
    <n v="66"/>
    <n v="330"/>
    <n v="165.95"/>
    <n v="164.05"/>
    <x v="0"/>
  </r>
  <r>
    <s v="ORD0393"/>
    <n v="45331"/>
    <s v="Customer 178"/>
    <x v="0"/>
    <x v="1"/>
    <x v="7"/>
    <n v="2"/>
    <n v="67"/>
    <n v="134"/>
    <n v="90.28"/>
    <n v="43.72"/>
    <x v="1"/>
  </r>
  <r>
    <s v="ORD0394"/>
    <n v="45655"/>
    <s v="Customer 252"/>
    <x v="0"/>
    <x v="3"/>
    <x v="10"/>
    <n v="1"/>
    <n v="61"/>
    <n v="61"/>
    <n v="47.68"/>
    <n v="13.32"/>
    <x v="2"/>
  </r>
  <r>
    <s v="ORD0395"/>
    <n v="45398"/>
    <s v="Customer 295"/>
    <x v="3"/>
    <x v="3"/>
    <x v="8"/>
    <n v="3"/>
    <n v="57"/>
    <n v="171"/>
    <n v="106.83"/>
    <n v="64.17"/>
    <x v="0"/>
  </r>
  <r>
    <s v="ORD0396"/>
    <n v="45363"/>
    <s v="Customer 296"/>
    <x v="3"/>
    <x v="1"/>
    <x v="3"/>
    <n v="2"/>
    <n v="76"/>
    <n v="152"/>
    <n v="88.34"/>
    <n v="63.66"/>
    <x v="0"/>
  </r>
  <r>
    <s v="ORD0397"/>
    <n v="45599"/>
    <s v="Customer 54"/>
    <x v="2"/>
    <x v="2"/>
    <x v="9"/>
    <n v="1"/>
    <n v="52"/>
    <n v="52"/>
    <n v="26.72"/>
    <n v="25.28"/>
    <x v="2"/>
  </r>
  <r>
    <s v="ORD0398"/>
    <n v="45390"/>
    <s v="Customer 221"/>
    <x v="2"/>
    <x v="3"/>
    <x v="8"/>
    <n v="2"/>
    <n v="66"/>
    <n v="132"/>
    <n v="91.49"/>
    <n v="40.51"/>
    <x v="0"/>
  </r>
  <r>
    <s v="ORD0399"/>
    <n v="45490"/>
    <s v="Customer 1"/>
    <x v="2"/>
    <x v="3"/>
    <x v="8"/>
    <n v="2"/>
    <n v="13"/>
    <n v="26"/>
    <n v="17.82"/>
    <n v="8.18"/>
    <x v="1"/>
  </r>
  <r>
    <s v="ORD0400"/>
    <n v="45526"/>
    <s v="Customer 35"/>
    <x v="2"/>
    <x v="1"/>
    <x v="6"/>
    <n v="3"/>
    <n v="92"/>
    <n v="276"/>
    <n v="203.58"/>
    <n v="72.42"/>
    <x v="1"/>
  </r>
  <r>
    <s v="ORD0401"/>
    <n v="45488"/>
    <s v="Customer 63"/>
    <x v="1"/>
    <x v="2"/>
    <x v="12"/>
    <n v="3"/>
    <n v="81"/>
    <n v="243"/>
    <n v="149.25"/>
    <n v="93.75"/>
    <x v="3"/>
  </r>
  <r>
    <s v="ORD0402"/>
    <n v="45388"/>
    <s v="Customer 199"/>
    <x v="2"/>
    <x v="0"/>
    <x v="0"/>
    <n v="5"/>
    <n v="16"/>
    <n v="80"/>
    <n v="42.96"/>
    <n v="37.04"/>
    <x v="2"/>
  </r>
  <r>
    <s v="ORD0403"/>
    <n v="45388"/>
    <s v="Customer 107"/>
    <x v="2"/>
    <x v="2"/>
    <x v="12"/>
    <n v="1"/>
    <n v="13"/>
    <n v="13"/>
    <n v="6.97"/>
    <n v="6.03"/>
    <x v="1"/>
  </r>
  <r>
    <s v="ORD0404"/>
    <n v="45470"/>
    <s v="Customer 247"/>
    <x v="3"/>
    <x v="0"/>
    <x v="2"/>
    <n v="5"/>
    <n v="37"/>
    <n v="185"/>
    <n v="137.97999999999999"/>
    <n v="47.02"/>
    <x v="1"/>
  </r>
  <r>
    <s v="ORD0405"/>
    <n v="45584"/>
    <s v="Customer 109"/>
    <x v="3"/>
    <x v="2"/>
    <x v="4"/>
    <n v="1"/>
    <n v="37"/>
    <n v="37"/>
    <n v="21.12"/>
    <n v="15.88"/>
    <x v="3"/>
  </r>
  <r>
    <s v="ORD0406"/>
    <n v="45479"/>
    <s v="Customer 267"/>
    <x v="2"/>
    <x v="2"/>
    <x v="4"/>
    <n v="1"/>
    <n v="80"/>
    <n v="80"/>
    <n v="41.26"/>
    <n v="38.74"/>
    <x v="2"/>
  </r>
  <r>
    <s v="ORD0407"/>
    <n v="45517"/>
    <s v="Customer 186"/>
    <x v="0"/>
    <x v="1"/>
    <x v="6"/>
    <n v="5"/>
    <n v="54"/>
    <n v="270"/>
    <n v="168.96"/>
    <n v="101.04"/>
    <x v="3"/>
  </r>
  <r>
    <s v="ORD0408"/>
    <n v="45593"/>
    <s v="Customer 82"/>
    <x v="1"/>
    <x v="3"/>
    <x v="10"/>
    <n v="3"/>
    <n v="59"/>
    <n v="177"/>
    <n v="98.79"/>
    <n v="78.209999999999994"/>
    <x v="1"/>
  </r>
  <r>
    <s v="ORD0409"/>
    <n v="45406"/>
    <s v="Customer 222"/>
    <x v="1"/>
    <x v="0"/>
    <x v="2"/>
    <n v="2"/>
    <n v="97"/>
    <n v="194"/>
    <n v="120.92"/>
    <n v="73.08"/>
    <x v="0"/>
  </r>
  <r>
    <s v="ORD0410"/>
    <n v="45631"/>
    <s v="Customer 193"/>
    <x v="1"/>
    <x v="0"/>
    <x v="0"/>
    <n v="4"/>
    <n v="96"/>
    <n v="384"/>
    <n v="241.02"/>
    <n v="142.97999999999999"/>
    <x v="2"/>
  </r>
  <r>
    <s v="ORD0411"/>
    <n v="45576"/>
    <s v="Customer 260"/>
    <x v="1"/>
    <x v="2"/>
    <x v="12"/>
    <n v="1"/>
    <n v="65"/>
    <n v="65"/>
    <n v="48.02"/>
    <n v="16.98"/>
    <x v="3"/>
  </r>
  <r>
    <s v="ORD0412"/>
    <n v="45651"/>
    <s v="Customer 5"/>
    <x v="3"/>
    <x v="1"/>
    <x v="3"/>
    <n v="3"/>
    <n v="39"/>
    <n v="117"/>
    <n v="88.6"/>
    <n v="28.4"/>
    <x v="2"/>
  </r>
  <r>
    <s v="ORD0413"/>
    <n v="45520"/>
    <s v="Customer 98"/>
    <x v="1"/>
    <x v="2"/>
    <x v="12"/>
    <n v="2"/>
    <n v="91"/>
    <n v="182"/>
    <n v="93.57"/>
    <n v="88.43"/>
    <x v="0"/>
  </r>
  <r>
    <s v="ORD0414"/>
    <n v="45541"/>
    <s v="Customer 34"/>
    <x v="2"/>
    <x v="3"/>
    <x v="10"/>
    <n v="1"/>
    <n v="24"/>
    <n v="24"/>
    <n v="13.96"/>
    <n v="10.039999999999999"/>
    <x v="0"/>
  </r>
  <r>
    <s v="ORD0415"/>
    <n v="45293"/>
    <s v="Customer 282"/>
    <x v="2"/>
    <x v="1"/>
    <x v="7"/>
    <n v="2"/>
    <n v="73"/>
    <n v="146"/>
    <n v="80.13"/>
    <n v="65.87"/>
    <x v="0"/>
  </r>
  <r>
    <s v="ORD0416"/>
    <n v="45342"/>
    <s v="Customer 236"/>
    <x v="1"/>
    <x v="3"/>
    <x v="10"/>
    <n v="3"/>
    <n v="20"/>
    <n v="60"/>
    <n v="42.92"/>
    <n v="17.079999999999998"/>
    <x v="0"/>
  </r>
  <r>
    <s v="ORD0417"/>
    <n v="45630"/>
    <s v="Customer 56"/>
    <x v="3"/>
    <x v="3"/>
    <x v="5"/>
    <n v="2"/>
    <n v="93"/>
    <n v="186"/>
    <n v="107.49"/>
    <n v="78.510000000000005"/>
    <x v="1"/>
  </r>
  <r>
    <s v="ORD0418"/>
    <n v="45505"/>
    <s v="Customer 118"/>
    <x v="3"/>
    <x v="0"/>
    <x v="2"/>
    <n v="2"/>
    <n v="60"/>
    <n v="120"/>
    <n v="78.03"/>
    <n v="41.97"/>
    <x v="0"/>
  </r>
  <r>
    <s v="ORD0419"/>
    <n v="45610"/>
    <s v="Customer 73"/>
    <x v="3"/>
    <x v="0"/>
    <x v="1"/>
    <n v="5"/>
    <n v="58"/>
    <n v="290"/>
    <n v="169.67"/>
    <n v="120.33"/>
    <x v="2"/>
  </r>
  <r>
    <s v="ORD0420"/>
    <n v="45508"/>
    <s v="Customer 148"/>
    <x v="3"/>
    <x v="1"/>
    <x v="7"/>
    <n v="3"/>
    <n v="60"/>
    <n v="180"/>
    <n v="142.26"/>
    <n v="37.74"/>
    <x v="0"/>
  </r>
  <r>
    <s v="ORD0421"/>
    <n v="45604"/>
    <s v="Customer 135"/>
    <x v="3"/>
    <x v="2"/>
    <x v="12"/>
    <n v="3"/>
    <n v="80"/>
    <n v="240"/>
    <n v="176.6"/>
    <n v="63.4"/>
    <x v="1"/>
  </r>
  <r>
    <s v="ORD0422"/>
    <n v="45355"/>
    <s v="Customer 165"/>
    <x v="3"/>
    <x v="2"/>
    <x v="4"/>
    <n v="2"/>
    <n v="70"/>
    <n v="140"/>
    <n v="97.87"/>
    <n v="42.13"/>
    <x v="1"/>
  </r>
  <r>
    <s v="ORD0423"/>
    <n v="45485"/>
    <s v="Customer 295"/>
    <x v="2"/>
    <x v="1"/>
    <x v="7"/>
    <n v="5"/>
    <n v="53"/>
    <n v="265"/>
    <n v="186.92"/>
    <n v="78.08"/>
    <x v="0"/>
  </r>
  <r>
    <s v="ORD0424"/>
    <n v="45357"/>
    <s v="Customer 201"/>
    <x v="3"/>
    <x v="1"/>
    <x v="7"/>
    <n v="2"/>
    <n v="27"/>
    <n v="54"/>
    <n v="35.130000000000003"/>
    <n v="18.87"/>
    <x v="0"/>
  </r>
  <r>
    <s v="ORD0425"/>
    <n v="45555"/>
    <s v="Customer 101"/>
    <x v="1"/>
    <x v="2"/>
    <x v="9"/>
    <n v="4"/>
    <n v="65"/>
    <n v="260"/>
    <n v="177.87"/>
    <n v="82.13"/>
    <x v="1"/>
  </r>
  <r>
    <s v="ORD0426"/>
    <n v="45602"/>
    <s v="Customer 245"/>
    <x v="2"/>
    <x v="1"/>
    <x v="3"/>
    <n v="2"/>
    <n v="63"/>
    <n v="126"/>
    <n v="69.489999999999995"/>
    <n v="56.51"/>
    <x v="3"/>
  </r>
  <r>
    <s v="ORD0427"/>
    <n v="45462"/>
    <s v="Customer 255"/>
    <x v="0"/>
    <x v="3"/>
    <x v="5"/>
    <n v="5"/>
    <n v="87"/>
    <n v="435"/>
    <n v="330.83"/>
    <n v="104.17"/>
    <x v="1"/>
  </r>
  <r>
    <s v="ORD0428"/>
    <n v="45553"/>
    <s v="Customer 164"/>
    <x v="2"/>
    <x v="3"/>
    <x v="10"/>
    <n v="4"/>
    <n v="12"/>
    <n v="48"/>
    <n v="26.4"/>
    <n v="21.6"/>
    <x v="2"/>
  </r>
  <r>
    <s v="ORD0429"/>
    <n v="45587"/>
    <s v="Customer 211"/>
    <x v="2"/>
    <x v="3"/>
    <x v="8"/>
    <n v="1"/>
    <n v="13"/>
    <n v="13"/>
    <n v="8.5399999999999991"/>
    <n v="4.46"/>
    <x v="1"/>
  </r>
  <r>
    <s v="ORD0430"/>
    <n v="45385"/>
    <s v="Customer 91"/>
    <x v="3"/>
    <x v="2"/>
    <x v="4"/>
    <n v="1"/>
    <n v="45"/>
    <n v="45"/>
    <n v="22.98"/>
    <n v="22.02"/>
    <x v="1"/>
  </r>
  <r>
    <s v="ORD0431"/>
    <n v="45307"/>
    <s v="Customer 14"/>
    <x v="1"/>
    <x v="1"/>
    <x v="3"/>
    <n v="1"/>
    <n v="26"/>
    <n v="26"/>
    <n v="13.07"/>
    <n v="12.93"/>
    <x v="3"/>
  </r>
  <r>
    <s v="ORD0432"/>
    <n v="45597"/>
    <s v="Customer 7"/>
    <x v="2"/>
    <x v="1"/>
    <x v="3"/>
    <n v="4"/>
    <n v="76"/>
    <n v="304"/>
    <n v="239.66"/>
    <n v="64.34"/>
    <x v="1"/>
  </r>
  <r>
    <s v="ORD0433"/>
    <n v="45559"/>
    <s v="Customer 74"/>
    <x v="3"/>
    <x v="3"/>
    <x v="5"/>
    <n v="5"/>
    <n v="79"/>
    <n v="395"/>
    <n v="304.04000000000002"/>
    <n v="90.96"/>
    <x v="2"/>
  </r>
  <r>
    <s v="ORD0434"/>
    <n v="45434"/>
    <s v="Customer 221"/>
    <x v="2"/>
    <x v="3"/>
    <x v="5"/>
    <n v="5"/>
    <n v="27"/>
    <n v="135"/>
    <n v="81.14"/>
    <n v="53.86"/>
    <x v="1"/>
  </r>
  <r>
    <s v="ORD0435"/>
    <n v="45525"/>
    <s v="Customer 296"/>
    <x v="1"/>
    <x v="1"/>
    <x v="6"/>
    <n v="5"/>
    <n v="27"/>
    <n v="135"/>
    <n v="72.66"/>
    <n v="62.34"/>
    <x v="3"/>
  </r>
  <r>
    <s v="ORD0436"/>
    <n v="45466"/>
    <s v="Customer 27"/>
    <x v="0"/>
    <x v="1"/>
    <x v="6"/>
    <n v="2"/>
    <n v="90"/>
    <n v="180"/>
    <n v="128.72999999999999"/>
    <n v="51.27"/>
    <x v="3"/>
  </r>
  <r>
    <s v="ORD0437"/>
    <n v="45446"/>
    <s v="Customer 255"/>
    <x v="2"/>
    <x v="2"/>
    <x v="9"/>
    <n v="5"/>
    <n v="28"/>
    <n v="140"/>
    <n v="83.01"/>
    <n v="56.99"/>
    <x v="2"/>
  </r>
  <r>
    <s v="ORD0438"/>
    <n v="45576"/>
    <s v="Customer 244"/>
    <x v="1"/>
    <x v="2"/>
    <x v="12"/>
    <n v="5"/>
    <n v="65"/>
    <n v="325"/>
    <n v="244.85"/>
    <n v="80.150000000000006"/>
    <x v="1"/>
  </r>
  <r>
    <s v="ORD0439"/>
    <n v="45531"/>
    <s v="Customer 43"/>
    <x v="0"/>
    <x v="2"/>
    <x v="9"/>
    <n v="4"/>
    <n v="12"/>
    <n v="48"/>
    <n v="36.96"/>
    <n v="11.04"/>
    <x v="0"/>
  </r>
  <r>
    <s v="ORD0440"/>
    <n v="45346"/>
    <s v="Customer 105"/>
    <x v="1"/>
    <x v="0"/>
    <x v="2"/>
    <n v="2"/>
    <n v="89"/>
    <n v="178"/>
    <n v="109.6"/>
    <n v="68.400000000000006"/>
    <x v="2"/>
  </r>
  <r>
    <s v="ORD0441"/>
    <n v="45611"/>
    <s v="Customer 132"/>
    <x v="3"/>
    <x v="1"/>
    <x v="6"/>
    <n v="4"/>
    <n v="16"/>
    <n v="64"/>
    <n v="41.88"/>
    <n v="22.12"/>
    <x v="0"/>
  </r>
  <r>
    <s v="ORD0442"/>
    <n v="45604"/>
    <s v="Customer 97"/>
    <x v="0"/>
    <x v="2"/>
    <x v="9"/>
    <n v="2"/>
    <n v="30"/>
    <n v="60"/>
    <n v="37.07"/>
    <n v="22.93"/>
    <x v="0"/>
  </r>
  <r>
    <s v="ORD0443"/>
    <n v="45437"/>
    <s v="Customer 231"/>
    <x v="3"/>
    <x v="1"/>
    <x v="3"/>
    <n v="4"/>
    <n v="64"/>
    <n v="256"/>
    <n v="142.37"/>
    <n v="113.63"/>
    <x v="3"/>
  </r>
  <r>
    <s v="ORD0444"/>
    <n v="45574"/>
    <s v="Customer 105"/>
    <x v="0"/>
    <x v="3"/>
    <x v="5"/>
    <n v="3"/>
    <n v="36"/>
    <n v="108"/>
    <n v="79.180000000000007"/>
    <n v="28.82"/>
    <x v="1"/>
  </r>
  <r>
    <s v="ORD0445"/>
    <n v="45589"/>
    <s v="Customer 209"/>
    <x v="3"/>
    <x v="3"/>
    <x v="10"/>
    <n v="1"/>
    <n v="37"/>
    <n v="37"/>
    <n v="21.84"/>
    <n v="15.16"/>
    <x v="2"/>
  </r>
  <r>
    <s v="ORD0446"/>
    <n v="45562"/>
    <s v="Customer 178"/>
    <x v="2"/>
    <x v="0"/>
    <x v="2"/>
    <n v="3"/>
    <n v="21"/>
    <n v="63"/>
    <n v="39.409999999999997"/>
    <n v="23.59"/>
    <x v="3"/>
  </r>
  <r>
    <s v="ORD0447"/>
    <n v="45415"/>
    <s v="Customer 84"/>
    <x v="0"/>
    <x v="0"/>
    <x v="2"/>
    <n v="5"/>
    <n v="37"/>
    <n v="185"/>
    <n v="134.72"/>
    <n v="50.28"/>
    <x v="3"/>
  </r>
  <r>
    <s v="ORD0448"/>
    <n v="45602"/>
    <s v="Customer 195"/>
    <x v="2"/>
    <x v="0"/>
    <x v="1"/>
    <n v="2"/>
    <n v="32"/>
    <n v="64"/>
    <n v="48.54"/>
    <n v="15.46"/>
    <x v="0"/>
  </r>
  <r>
    <s v="ORD0449"/>
    <n v="45330"/>
    <s v="Customer 298"/>
    <x v="2"/>
    <x v="3"/>
    <x v="5"/>
    <n v="3"/>
    <n v="98"/>
    <n v="294"/>
    <n v="214.57"/>
    <n v="79.430000000000007"/>
    <x v="1"/>
  </r>
  <r>
    <s v="ORD0450"/>
    <n v="45600"/>
    <s v="Customer 263"/>
    <x v="1"/>
    <x v="1"/>
    <x v="3"/>
    <n v="4"/>
    <n v="20"/>
    <n v="80"/>
    <n v="49.57"/>
    <n v="30.43"/>
    <x v="1"/>
  </r>
  <r>
    <s v="ORD0451"/>
    <n v="45413"/>
    <s v="Customer 25"/>
    <x v="0"/>
    <x v="1"/>
    <x v="3"/>
    <n v="4"/>
    <n v="94"/>
    <n v="376"/>
    <n v="249.35"/>
    <n v="126.65"/>
    <x v="0"/>
  </r>
  <r>
    <s v="ORD0452"/>
    <n v="45296"/>
    <s v="Customer 203"/>
    <x v="2"/>
    <x v="0"/>
    <x v="0"/>
    <n v="1"/>
    <n v="20"/>
    <n v="20"/>
    <n v="13.82"/>
    <n v="6.18"/>
    <x v="3"/>
  </r>
  <r>
    <s v="ORD0453"/>
    <n v="45366"/>
    <s v="Customer 199"/>
    <x v="0"/>
    <x v="0"/>
    <x v="1"/>
    <n v="4"/>
    <n v="65"/>
    <n v="260"/>
    <n v="173.79"/>
    <n v="86.21"/>
    <x v="1"/>
  </r>
  <r>
    <s v="ORD0454"/>
    <n v="45631"/>
    <s v="Customer 117"/>
    <x v="1"/>
    <x v="3"/>
    <x v="10"/>
    <n v="1"/>
    <n v="16"/>
    <n v="16"/>
    <n v="11.27"/>
    <n v="4.7300000000000004"/>
    <x v="2"/>
  </r>
  <r>
    <s v="ORD0455"/>
    <n v="45386"/>
    <s v="Customer 27"/>
    <x v="2"/>
    <x v="3"/>
    <x v="8"/>
    <n v="4"/>
    <n v="11"/>
    <n v="44"/>
    <n v="31.45"/>
    <n v="12.55"/>
    <x v="0"/>
  </r>
  <r>
    <s v="ORD0456"/>
    <n v="45610"/>
    <s v="Customer 93"/>
    <x v="0"/>
    <x v="0"/>
    <x v="0"/>
    <n v="1"/>
    <n v="15"/>
    <n v="15"/>
    <n v="8.42"/>
    <n v="6.58"/>
    <x v="2"/>
  </r>
  <r>
    <s v="ORD0457"/>
    <n v="45388"/>
    <s v="Customer 26"/>
    <x v="3"/>
    <x v="2"/>
    <x v="9"/>
    <n v="1"/>
    <n v="90"/>
    <n v="90"/>
    <n v="45.48"/>
    <n v="44.52"/>
    <x v="0"/>
  </r>
  <r>
    <s v="ORD0458"/>
    <n v="45584"/>
    <s v="Customer 229"/>
    <x v="2"/>
    <x v="1"/>
    <x v="6"/>
    <n v="5"/>
    <n v="62"/>
    <n v="310"/>
    <n v="195.11"/>
    <n v="114.89"/>
    <x v="1"/>
  </r>
  <r>
    <s v="ORD0459"/>
    <n v="45417"/>
    <s v="Customer 36"/>
    <x v="2"/>
    <x v="1"/>
    <x v="7"/>
    <n v="4"/>
    <n v="37"/>
    <n v="148"/>
    <n v="87.09"/>
    <n v="60.91"/>
    <x v="2"/>
  </r>
  <r>
    <s v="ORD0460"/>
    <n v="45435"/>
    <s v="Customer 279"/>
    <x v="0"/>
    <x v="3"/>
    <x v="5"/>
    <n v="3"/>
    <n v="27"/>
    <n v="81"/>
    <n v="54.85"/>
    <n v="26.15"/>
    <x v="0"/>
  </r>
  <r>
    <s v="ORD0461"/>
    <n v="45642"/>
    <s v="Customer 14"/>
    <x v="3"/>
    <x v="0"/>
    <x v="0"/>
    <n v="4"/>
    <n v="55"/>
    <n v="220"/>
    <n v="173.02"/>
    <n v="46.98"/>
    <x v="3"/>
  </r>
  <r>
    <s v="ORD0462"/>
    <n v="45398"/>
    <s v="Customer 135"/>
    <x v="1"/>
    <x v="1"/>
    <x v="3"/>
    <n v="5"/>
    <n v="25"/>
    <n v="125"/>
    <n v="71.290000000000006"/>
    <n v="53.71"/>
    <x v="1"/>
  </r>
  <r>
    <s v="ORD0463"/>
    <n v="45357"/>
    <s v="Customer 198"/>
    <x v="2"/>
    <x v="1"/>
    <x v="3"/>
    <n v="4"/>
    <n v="19"/>
    <n v="76"/>
    <n v="46.16"/>
    <n v="29.84"/>
    <x v="2"/>
  </r>
  <r>
    <s v="ORD0464"/>
    <n v="45558"/>
    <s v="Customer 291"/>
    <x v="3"/>
    <x v="2"/>
    <x v="12"/>
    <n v="5"/>
    <n v="99"/>
    <n v="495"/>
    <n v="293.31"/>
    <n v="201.69"/>
    <x v="2"/>
  </r>
  <r>
    <s v="ORD0465"/>
    <n v="45564"/>
    <s v="Customer 73"/>
    <x v="1"/>
    <x v="1"/>
    <x v="7"/>
    <n v="4"/>
    <n v="59"/>
    <n v="236"/>
    <n v="180.41"/>
    <n v="55.59"/>
    <x v="0"/>
  </r>
  <r>
    <s v="ORD0466"/>
    <n v="45394"/>
    <s v="Customer 208"/>
    <x v="3"/>
    <x v="2"/>
    <x v="12"/>
    <n v="4"/>
    <n v="93"/>
    <n v="372"/>
    <n v="228.1"/>
    <n v="143.9"/>
    <x v="2"/>
  </r>
  <r>
    <s v="ORD0467"/>
    <n v="45495"/>
    <s v="Customer 90"/>
    <x v="2"/>
    <x v="0"/>
    <x v="1"/>
    <n v="3"/>
    <n v="74"/>
    <n v="222"/>
    <n v="176.11"/>
    <n v="45.89"/>
    <x v="0"/>
  </r>
  <r>
    <s v="ORD0468"/>
    <n v="45503"/>
    <s v="Customer 57"/>
    <x v="3"/>
    <x v="1"/>
    <x v="7"/>
    <n v="5"/>
    <n v="61"/>
    <n v="305"/>
    <n v="211.36"/>
    <n v="93.64"/>
    <x v="3"/>
  </r>
  <r>
    <s v="ORD0469"/>
    <n v="45303"/>
    <s v="Customer 119"/>
    <x v="1"/>
    <x v="0"/>
    <x v="1"/>
    <n v="5"/>
    <n v="90"/>
    <n v="450"/>
    <n v="336.57"/>
    <n v="113.43"/>
    <x v="3"/>
  </r>
  <r>
    <s v="ORD0470"/>
    <n v="45495"/>
    <s v="Customer 76"/>
    <x v="2"/>
    <x v="0"/>
    <x v="0"/>
    <n v="4"/>
    <n v="29"/>
    <n v="116"/>
    <n v="67.760000000000005"/>
    <n v="48.24"/>
    <x v="0"/>
  </r>
  <r>
    <s v="ORD0471"/>
    <n v="45360"/>
    <s v="Customer 196"/>
    <x v="0"/>
    <x v="1"/>
    <x v="11"/>
    <n v="3"/>
    <n v="79"/>
    <n v="237"/>
    <n v="144.6"/>
    <n v="92.4"/>
    <x v="3"/>
  </r>
  <r>
    <s v="ORD0472"/>
    <n v="45346"/>
    <s v="Customer 6"/>
    <x v="3"/>
    <x v="1"/>
    <x v="11"/>
    <n v="4"/>
    <n v="70"/>
    <n v="280"/>
    <n v="204.36"/>
    <n v="75.64"/>
    <x v="1"/>
  </r>
  <r>
    <s v="ORD0473"/>
    <n v="45515"/>
    <s v="Customer 209"/>
    <x v="2"/>
    <x v="1"/>
    <x v="7"/>
    <n v="4"/>
    <n v="65"/>
    <n v="260"/>
    <n v="146.54"/>
    <n v="113.46"/>
    <x v="3"/>
  </r>
  <r>
    <s v="ORD0474"/>
    <n v="45431"/>
    <s v="Customer 253"/>
    <x v="3"/>
    <x v="2"/>
    <x v="9"/>
    <n v="4"/>
    <n v="61"/>
    <n v="244"/>
    <n v="165.04"/>
    <n v="78.959999999999994"/>
    <x v="1"/>
  </r>
  <r>
    <s v="ORD0475"/>
    <n v="45387"/>
    <s v="Customer 238"/>
    <x v="1"/>
    <x v="1"/>
    <x v="7"/>
    <n v="4"/>
    <n v="47"/>
    <n v="188"/>
    <n v="116.77"/>
    <n v="71.23"/>
    <x v="1"/>
  </r>
  <r>
    <s v="ORD0476"/>
    <n v="45594"/>
    <s v="Customer 82"/>
    <x v="1"/>
    <x v="1"/>
    <x v="7"/>
    <n v="1"/>
    <n v="79"/>
    <n v="79"/>
    <n v="49.52"/>
    <n v="29.48"/>
    <x v="0"/>
  </r>
  <r>
    <s v="ORD0477"/>
    <n v="45551"/>
    <s v="Customer 216"/>
    <x v="3"/>
    <x v="0"/>
    <x v="2"/>
    <n v="4"/>
    <n v="20"/>
    <n v="80"/>
    <n v="42.79"/>
    <n v="37.21"/>
    <x v="2"/>
  </r>
  <r>
    <s v="ORD0478"/>
    <n v="45512"/>
    <s v="Customer 144"/>
    <x v="2"/>
    <x v="1"/>
    <x v="11"/>
    <n v="3"/>
    <n v="36"/>
    <n v="108"/>
    <n v="75.56"/>
    <n v="32.44"/>
    <x v="0"/>
  </r>
  <r>
    <s v="ORD0479"/>
    <n v="45489"/>
    <s v="Customer 219"/>
    <x v="3"/>
    <x v="3"/>
    <x v="10"/>
    <n v="5"/>
    <n v="75"/>
    <n v="375"/>
    <n v="204.67"/>
    <n v="170.33"/>
    <x v="0"/>
  </r>
  <r>
    <s v="ORD0480"/>
    <n v="45617"/>
    <s v="Customer 160"/>
    <x v="2"/>
    <x v="2"/>
    <x v="12"/>
    <n v="3"/>
    <n v="60"/>
    <n v="180"/>
    <n v="111.78"/>
    <n v="68.22"/>
    <x v="2"/>
  </r>
  <r>
    <s v="ORD0481"/>
    <n v="45378"/>
    <s v="Customer 124"/>
    <x v="3"/>
    <x v="0"/>
    <x v="0"/>
    <n v="5"/>
    <n v="45"/>
    <n v="225"/>
    <n v="145.02000000000001"/>
    <n v="79.98"/>
    <x v="1"/>
  </r>
  <r>
    <s v="ORD0482"/>
    <n v="45385"/>
    <s v="Customer 23"/>
    <x v="2"/>
    <x v="0"/>
    <x v="1"/>
    <n v="5"/>
    <n v="39"/>
    <n v="195"/>
    <n v="110.51"/>
    <n v="84.49"/>
    <x v="3"/>
  </r>
  <r>
    <s v="ORD0483"/>
    <n v="45484"/>
    <s v="Customer 81"/>
    <x v="0"/>
    <x v="2"/>
    <x v="12"/>
    <n v="1"/>
    <n v="84"/>
    <n v="84"/>
    <n v="61.56"/>
    <n v="22.44"/>
    <x v="3"/>
  </r>
  <r>
    <s v="ORD0484"/>
    <n v="45509"/>
    <s v="Customer 5"/>
    <x v="0"/>
    <x v="1"/>
    <x v="3"/>
    <n v="2"/>
    <n v="58"/>
    <n v="116"/>
    <n v="64.819999999999993"/>
    <n v="51.18"/>
    <x v="1"/>
  </r>
  <r>
    <s v="ORD0485"/>
    <n v="45408"/>
    <s v="Customer 131"/>
    <x v="2"/>
    <x v="2"/>
    <x v="9"/>
    <n v="1"/>
    <n v="16"/>
    <n v="16"/>
    <n v="11.97"/>
    <n v="4.03"/>
    <x v="2"/>
  </r>
  <r>
    <s v="ORD0486"/>
    <n v="45420"/>
    <s v="Customer 198"/>
    <x v="3"/>
    <x v="3"/>
    <x v="8"/>
    <n v="5"/>
    <n v="30"/>
    <n v="150"/>
    <n v="106.09"/>
    <n v="43.91"/>
    <x v="1"/>
  </r>
  <r>
    <s v="ORD0487"/>
    <n v="45522"/>
    <s v="Customer 167"/>
    <x v="0"/>
    <x v="2"/>
    <x v="12"/>
    <n v="1"/>
    <n v="42"/>
    <n v="42"/>
    <n v="24.02"/>
    <n v="17.98"/>
    <x v="3"/>
  </r>
  <r>
    <s v="ORD0488"/>
    <n v="45568"/>
    <s v="Customer 153"/>
    <x v="2"/>
    <x v="2"/>
    <x v="12"/>
    <n v="4"/>
    <n v="35"/>
    <n v="140"/>
    <n v="92.82"/>
    <n v="47.18"/>
    <x v="0"/>
  </r>
  <r>
    <s v="ORD0489"/>
    <n v="45423"/>
    <s v="Customer 285"/>
    <x v="2"/>
    <x v="2"/>
    <x v="9"/>
    <n v="1"/>
    <n v="11"/>
    <n v="11"/>
    <n v="5.98"/>
    <n v="5.0199999999999996"/>
    <x v="0"/>
  </r>
  <r>
    <s v="ORD0490"/>
    <n v="45479"/>
    <s v="Customer 103"/>
    <x v="2"/>
    <x v="2"/>
    <x v="9"/>
    <n v="4"/>
    <n v="13"/>
    <n v="52"/>
    <n v="37.700000000000003"/>
    <n v="14.3"/>
    <x v="3"/>
  </r>
  <r>
    <s v="ORD0491"/>
    <n v="45378"/>
    <s v="Customer 113"/>
    <x v="2"/>
    <x v="1"/>
    <x v="11"/>
    <n v="5"/>
    <n v="99"/>
    <n v="495"/>
    <n v="257.95999999999998"/>
    <n v="237.04"/>
    <x v="1"/>
  </r>
  <r>
    <s v="ORD0492"/>
    <n v="45446"/>
    <s v="Customer 90"/>
    <x v="1"/>
    <x v="3"/>
    <x v="5"/>
    <n v="5"/>
    <n v="21"/>
    <n v="105"/>
    <n v="77.599999999999994"/>
    <n v="27.4"/>
    <x v="3"/>
  </r>
  <r>
    <s v="ORD0493"/>
    <n v="45561"/>
    <s v="Customer 297"/>
    <x v="3"/>
    <x v="1"/>
    <x v="11"/>
    <n v="2"/>
    <n v="54"/>
    <n v="108"/>
    <n v="57.51"/>
    <n v="50.49"/>
    <x v="2"/>
  </r>
  <r>
    <s v="ORD0494"/>
    <n v="45467"/>
    <s v="Customer 110"/>
    <x v="2"/>
    <x v="2"/>
    <x v="4"/>
    <n v="5"/>
    <n v="33"/>
    <n v="165"/>
    <n v="113.07"/>
    <n v="51.93"/>
    <x v="3"/>
  </r>
  <r>
    <s v="ORD0495"/>
    <n v="45566"/>
    <s v="Customer 124"/>
    <x v="1"/>
    <x v="0"/>
    <x v="2"/>
    <n v="4"/>
    <n v="28"/>
    <n v="112"/>
    <n v="59.04"/>
    <n v="52.96"/>
    <x v="0"/>
  </r>
  <r>
    <s v="ORD0496"/>
    <n v="45343"/>
    <s v="Customer 87"/>
    <x v="3"/>
    <x v="2"/>
    <x v="12"/>
    <n v="5"/>
    <n v="64"/>
    <n v="320"/>
    <n v="197.36"/>
    <n v="122.64"/>
    <x v="2"/>
  </r>
  <r>
    <s v="ORD0497"/>
    <n v="45340"/>
    <s v="Customer 60"/>
    <x v="3"/>
    <x v="2"/>
    <x v="9"/>
    <n v="5"/>
    <n v="99"/>
    <n v="495"/>
    <n v="282.38"/>
    <n v="212.62"/>
    <x v="1"/>
  </r>
  <r>
    <s v="ORD0498"/>
    <n v="45311"/>
    <s v="Customer 181"/>
    <x v="1"/>
    <x v="3"/>
    <x v="5"/>
    <n v="5"/>
    <n v="94"/>
    <n v="470"/>
    <n v="371.5"/>
    <n v="98.5"/>
    <x v="3"/>
  </r>
  <r>
    <s v="ORD0499"/>
    <n v="45545"/>
    <s v="Customer 231"/>
    <x v="3"/>
    <x v="2"/>
    <x v="9"/>
    <n v="5"/>
    <n v="49"/>
    <n v="245"/>
    <n v="138.46"/>
    <n v="106.54"/>
    <x v="3"/>
  </r>
  <r>
    <s v="ORD0500"/>
    <n v="45654"/>
    <s v="Customer 81"/>
    <x v="2"/>
    <x v="2"/>
    <x v="9"/>
    <n v="2"/>
    <n v="78"/>
    <n v="156"/>
    <n v="120.35"/>
    <n v="35.65"/>
    <x v="2"/>
  </r>
  <r>
    <s v="ORD0501"/>
    <n v="45511"/>
    <s v="Customer 40"/>
    <x v="0"/>
    <x v="2"/>
    <x v="4"/>
    <n v="1"/>
    <n v="77"/>
    <n v="77"/>
    <n v="53.47"/>
    <n v="23.53"/>
    <x v="3"/>
  </r>
  <r>
    <s v="ORD0502"/>
    <n v="45642"/>
    <s v="Customer 97"/>
    <x v="3"/>
    <x v="2"/>
    <x v="9"/>
    <n v="1"/>
    <n v="58"/>
    <n v="58"/>
    <n v="44.3"/>
    <n v="13.7"/>
    <x v="0"/>
  </r>
  <r>
    <s v="ORD0503"/>
    <n v="45523"/>
    <s v="Customer 264"/>
    <x v="2"/>
    <x v="2"/>
    <x v="4"/>
    <n v="3"/>
    <n v="45"/>
    <n v="135"/>
    <n v="99.36"/>
    <n v="35.64"/>
    <x v="0"/>
  </r>
  <r>
    <s v="ORD0504"/>
    <n v="45423"/>
    <s v="Customer 120"/>
    <x v="1"/>
    <x v="0"/>
    <x v="0"/>
    <n v="2"/>
    <n v="92"/>
    <n v="184"/>
    <n v="140.78"/>
    <n v="43.22"/>
    <x v="0"/>
  </r>
  <r>
    <s v="ORD0505"/>
    <n v="45347"/>
    <s v="Customer 71"/>
    <x v="1"/>
    <x v="1"/>
    <x v="7"/>
    <n v="2"/>
    <n v="16"/>
    <n v="32"/>
    <n v="17.07"/>
    <n v="14.93"/>
    <x v="1"/>
  </r>
  <r>
    <s v="ORD0506"/>
    <n v="45441"/>
    <s v="Customer 277"/>
    <x v="2"/>
    <x v="3"/>
    <x v="8"/>
    <n v="1"/>
    <n v="30"/>
    <n v="30"/>
    <n v="16.809999999999999"/>
    <n v="13.19"/>
    <x v="3"/>
  </r>
  <r>
    <s v="ORD0507"/>
    <n v="45536"/>
    <s v="Customer 278"/>
    <x v="0"/>
    <x v="2"/>
    <x v="9"/>
    <n v="1"/>
    <n v="43"/>
    <n v="43"/>
    <n v="26.59"/>
    <n v="16.41"/>
    <x v="0"/>
  </r>
  <r>
    <s v="ORD0508"/>
    <n v="45338"/>
    <s v="Customer 159"/>
    <x v="1"/>
    <x v="1"/>
    <x v="3"/>
    <n v="4"/>
    <n v="42"/>
    <n v="168"/>
    <n v="123.15"/>
    <n v="44.85"/>
    <x v="2"/>
  </r>
  <r>
    <s v="ORD0509"/>
    <n v="45646"/>
    <s v="Customer 46"/>
    <x v="2"/>
    <x v="3"/>
    <x v="8"/>
    <n v="3"/>
    <n v="54"/>
    <n v="162"/>
    <n v="113.37"/>
    <n v="48.63"/>
    <x v="2"/>
  </r>
  <r>
    <s v="ORD0510"/>
    <n v="45442"/>
    <s v="Customer 37"/>
    <x v="2"/>
    <x v="1"/>
    <x v="7"/>
    <n v="5"/>
    <n v="83"/>
    <n v="415"/>
    <n v="325.36"/>
    <n v="89.64"/>
    <x v="1"/>
  </r>
  <r>
    <s v="ORD0511"/>
    <n v="45552"/>
    <s v="Customer 184"/>
    <x v="2"/>
    <x v="0"/>
    <x v="2"/>
    <n v="2"/>
    <n v="30"/>
    <n v="60"/>
    <n v="47.06"/>
    <n v="12.94"/>
    <x v="3"/>
  </r>
  <r>
    <s v="ORD0512"/>
    <n v="45493"/>
    <s v="Customer 179"/>
    <x v="1"/>
    <x v="2"/>
    <x v="4"/>
    <n v="5"/>
    <n v="84"/>
    <n v="420"/>
    <n v="218.5"/>
    <n v="201.5"/>
    <x v="3"/>
  </r>
  <r>
    <s v="ORD0513"/>
    <n v="45445"/>
    <s v="Customer 245"/>
    <x v="0"/>
    <x v="0"/>
    <x v="1"/>
    <n v="3"/>
    <n v="63"/>
    <n v="189"/>
    <n v="118.27"/>
    <n v="70.73"/>
    <x v="1"/>
  </r>
  <r>
    <s v="ORD0514"/>
    <n v="45560"/>
    <s v="Customer 1"/>
    <x v="1"/>
    <x v="0"/>
    <x v="0"/>
    <n v="2"/>
    <n v="79"/>
    <n v="158"/>
    <n v="99.52"/>
    <n v="58.48"/>
    <x v="0"/>
  </r>
  <r>
    <s v="ORD0515"/>
    <n v="45637"/>
    <s v="Customer 10"/>
    <x v="3"/>
    <x v="2"/>
    <x v="12"/>
    <n v="3"/>
    <n v="69"/>
    <n v="207"/>
    <n v="162.44999999999999"/>
    <n v="44.55"/>
    <x v="2"/>
  </r>
  <r>
    <s v="ORD0516"/>
    <n v="45572"/>
    <s v="Customer 114"/>
    <x v="3"/>
    <x v="1"/>
    <x v="3"/>
    <n v="3"/>
    <n v="59"/>
    <n v="177"/>
    <n v="122.79"/>
    <n v="54.21"/>
    <x v="0"/>
  </r>
  <r>
    <s v="ORD0517"/>
    <n v="45434"/>
    <s v="Customer 182"/>
    <x v="2"/>
    <x v="1"/>
    <x v="11"/>
    <n v="4"/>
    <n v="17"/>
    <n v="68"/>
    <n v="36.24"/>
    <n v="31.76"/>
    <x v="0"/>
  </r>
  <r>
    <s v="ORD0518"/>
    <n v="45313"/>
    <s v="Customer 133"/>
    <x v="2"/>
    <x v="0"/>
    <x v="1"/>
    <n v="3"/>
    <n v="38"/>
    <n v="114"/>
    <n v="60.49"/>
    <n v="53.51"/>
    <x v="0"/>
  </r>
  <r>
    <s v="ORD0519"/>
    <n v="45538"/>
    <s v="Customer 32"/>
    <x v="2"/>
    <x v="1"/>
    <x v="11"/>
    <n v="1"/>
    <n v="36"/>
    <n v="36"/>
    <n v="24.82"/>
    <n v="11.18"/>
    <x v="1"/>
  </r>
  <r>
    <s v="ORD0520"/>
    <n v="45421"/>
    <s v="Customer 192"/>
    <x v="2"/>
    <x v="2"/>
    <x v="9"/>
    <n v="4"/>
    <n v="47"/>
    <n v="188"/>
    <n v="134.08000000000001"/>
    <n v="53.92"/>
    <x v="3"/>
  </r>
  <r>
    <s v="ORD0521"/>
    <n v="45442"/>
    <s v="Customer 261"/>
    <x v="2"/>
    <x v="3"/>
    <x v="5"/>
    <n v="4"/>
    <n v="16"/>
    <n v="64"/>
    <n v="49.8"/>
    <n v="14.2"/>
    <x v="2"/>
  </r>
  <r>
    <s v="ORD0522"/>
    <n v="45301"/>
    <s v="Customer 37"/>
    <x v="0"/>
    <x v="1"/>
    <x v="6"/>
    <n v="3"/>
    <n v="67"/>
    <n v="201"/>
    <n v="106.63"/>
    <n v="94.37"/>
    <x v="1"/>
  </r>
  <r>
    <s v="ORD0523"/>
    <n v="45488"/>
    <s v="Customer 91"/>
    <x v="3"/>
    <x v="2"/>
    <x v="4"/>
    <n v="4"/>
    <n v="45"/>
    <n v="180"/>
    <n v="96.28"/>
    <n v="83.72"/>
    <x v="0"/>
  </r>
  <r>
    <s v="ORD0524"/>
    <n v="45518"/>
    <s v="Customer 36"/>
    <x v="2"/>
    <x v="2"/>
    <x v="9"/>
    <n v="4"/>
    <n v="36"/>
    <n v="144"/>
    <n v="88.41"/>
    <n v="55.59"/>
    <x v="2"/>
  </r>
  <r>
    <s v="ORD0525"/>
    <n v="45465"/>
    <s v="Customer 286"/>
    <x v="3"/>
    <x v="0"/>
    <x v="0"/>
    <n v="2"/>
    <n v="95"/>
    <n v="190"/>
    <n v="126.2"/>
    <n v="63.8"/>
    <x v="1"/>
  </r>
  <r>
    <s v="ORD0526"/>
    <n v="45438"/>
    <s v="Customer 243"/>
    <x v="3"/>
    <x v="0"/>
    <x v="2"/>
    <n v="4"/>
    <n v="91"/>
    <n v="364"/>
    <n v="256.62"/>
    <n v="107.38"/>
    <x v="2"/>
  </r>
  <r>
    <s v="ORD0527"/>
    <n v="45651"/>
    <s v="Customer 279"/>
    <x v="1"/>
    <x v="3"/>
    <x v="5"/>
    <n v="3"/>
    <n v="67"/>
    <n v="201"/>
    <n v="124.94"/>
    <n v="76.06"/>
    <x v="0"/>
  </r>
  <r>
    <s v="ORD0528"/>
    <n v="45408"/>
    <s v="Customer 273"/>
    <x v="2"/>
    <x v="1"/>
    <x v="7"/>
    <n v="5"/>
    <n v="16"/>
    <n v="80"/>
    <n v="63.38"/>
    <n v="16.62"/>
    <x v="3"/>
  </r>
  <r>
    <s v="ORD0529"/>
    <n v="45466"/>
    <s v="Customer 87"/>
    <x v="0"/>
    <x v="0"/>
    <x v="1"/>
    <n v="3"/>
    <n v="48"/>
    <n v="144"/>
    <n v="104.67"/>
    <n v="39.33"/>
    <x v="1"/>
  </r>
  <r>
    <s v="ORD0530"/>
    <n v="45496"/>
    <s v="Customer 141"/>
    <x v="1"/>
    <x v="3"/>
    <x v="5"/>
    <n v="4"/>
    <n v="91"/>
    <n v="364"/>
    <n v="223.33"/>
    <n v="140.66999999999999"/>
    <x v="2"/>
  </r>
  <r>
    <s v="ORD0531"/>
    <n v="45638"/>
    <s v="Customer 31"/>
    <x v="3"/>
    <x v="2"/>
    <x v="4"/>
    <n v="3"/>
    <n v="81"/>
    <n v="243"/>
    <n v="162.46"/>
    <n v="80.540000000000006"/>
    <x v="1"/>
  </r>
  <r>
    <s v="ORD0532"/>
    <n v="45470"/>
    <s v="Customer 183"/>
    <x v="0"/>
    <x v="3"/>
    <x v="8"/>
    <n v="5"/>
    <n v="95"/>
    <n v="475"/>
    <n v="249.89"/>
    <n v="225.11"/>
    <x v="2"/>
  </r>
  <r>
    <s v="ORD0533"/>
    <n v="45461"/>
    <s v="Customer 217"/>
    <x v="2"/>
    <x v="3"/>
    <x v="8"/>
    <n v="4"/>
    <n v="74"/>
    <n v="296"/>
    <n v="219.78"/>
    <n v="76.22"/>
    <x v="2"/>
  </r>
  <r>
    <s v="ORD0534"/>
    <n v="45415"/>
    <s v="Customer 294"/>
    <x v="1"/>
    <x v="3"/>
    <x v="10"/>
    <n v="2"/>
    <n v="75"/>
    <n v="150"/>
    <n v="84.48"/>
    <n v="65.52"/>
    <x v="2"/>
  </r>
  <r>
    <s v="ORD0535"/>
    <n v="45562"/>
    <s v="Customer 89"/>
    <x v="2"/>
    <x v="3"/>
    <x v="10"/>
    <n v="1"/>
    <n v="15"/>
    <n v="15"/>
    <n v="9.33"/>
    <n v="5.67"/>
    <x v="1"/>
  </r>
  <r>
    <s v="ORD0536"/>
    <n v="45527"/>
    <s v="Customer 297"/>
    <x v="3"/>
    <x v="1"/>
    <x v="7"/>
    <n v="4"/>
    <n v="28"/>
    <n v="112"/>
    <n v="82.65"/>
    <n v="29.35"/>
    <x v="0"/>
  </r>
  <r>
    <s v="ORD0537"/>
    <n v="45547"/>
    <s v="Customer 73"/>
    <x v="0"/>
    <x v="0"/>
    <x v="2"/>
    <n v="4"/>
    <n v="16"/>
    <n v="64"/>
    <n v="43.31"/>
    <n v="20.69"/>
    <x v="3"/>
  </r>
  <r>
    <s v="ORD0538"/>
    <n v="45536"/>
    <s v="Customer 70"/>
    <x v="0"/>
    <x v="0"/>
    <x v="0"/>
    <n v="3"/>
    <n v="44"/>
    <n v="132"/>
    <n v="92.11"/>
    <n v="39.89"/>
    <x v="1"/>
  </r>
  <r>
    <s v="ORD0539"/>
    <n v="45532"/>
    <s v="Customer 233"/>
    <x v="1"/>
    <x v="1"/>
    <x v="6"/>
    <n v="3"/>
    <n v="63"/>
    <n v="189"/>
    <n v="132.08000000000001"/>
    <n v="56.92"/>
    <x v="2"/>
  </r>
  <r>
    <s v="ORD0540"/>
    <n v="45489"/>
    <s v="Customer 136"/>
    <x v="0"/>
    <x v="2"/>
    <x v="12"/>
    <n v="4"/>
    <n v="39"/>
    <n v="156"/>
    <n v="94.18"/>
    <n v="61.82"/>
    <x v="0"/>
  </r>
  <r>
    <s v="ORD0541"/>
    <n v="45416"/>
    <s v="Customer 85"/>
    <x v="3"/>
    <x v="0"/>
    <x v="2"/>
    <n v="4"/>
    <n v="28"/>
    <n v="112"/>
    <n v="88.25"/>
    <n v="23.75"/>
    <x v="2"/>
  </r>
  <r>
    <s v="ORD0542"/>
    <n v="45475"/>
    <s v="Customer 195"/>
    <x v="1"/>
    <x v="2"/>
    <x v="9"/>
    <n v="1"/>
    <n v="74"/>
    <n v="74"/>
    <n v="43.62"/>
    <n v="30.38"/>
    <x v="2"/>
  </r>
  <r>
    <s v="ORD0543"/>
    <n v="45469"/>
    <s v="Customer 245"/>
    <x v="1"/>
    <x v="2"/>
    <x v="4"/>
    <n v="2"/>
    <n v="84"/>
    <n v="168"/>
    <n v="119.55"/>
    <n v="48.45"/>
    <x v="3"/>
  </r>
  <r>
    <s v="ORD0544"/>
    <n v="45297"/>
    <s v="Customer 169"/>
    <x v="2"/>
    <x v="0"/>
    <x v="1"/>
    <n v="4"/>
    <n v="27"/>
    <n v="108"/>
    <n v="76.81"/>
    <n v="31.19"/>
    <x v="1"/>
  </r>
  <r>
    <s v="ORD0545"/>
    <n v="45462"/>
    <s v="Customer 170"/>
    <x v="3"/>
    <x v="2"/>
    <x v="12"/>
    <n v="4"/>
    <n v="29"/>
    <n v="116"/>
    <n v="58.38"/>
    <n v="57.62"/>
    <x v="1"/>
  </r>
  <r>
    <s v="ORD0546"/>
    <n v="45520"/>
    <s v="Customer 81"/>
    <x v="1"/>
    <x v="1"/>
    <x v="3"/>
    <n v="1"/>
    <n v="56"/>
    <n v="56"/>
    <n v="30.03"/>
    <n v="25.97"/>
    <x v="2"/>
  </r>
  <r>
    <s v="ORD0547"/>
    <n v="45401"/>
    <s v="Customer 283"/>
    <x v="2"/>
    <x v="3"/>
    <x v="8"/>
    <n v="5"/>
    <n v="79"/>
    <n v="395"/>
    <n v="301.29000000000002"/>
    <n v="93.71"/>
    <x v="1"/>
  </r>
  <r>
    <s v="ORD0548"/>
    <n v="45471"/>
    <s v="Customer 45"/>
    <x v="1"/>
    <x v="1"/>
    <x v="3"/>
    <n v="1"/>
    <n v="56"/>
    <n v="56"/>
    <n v="32.299999999999997"/>
    <n v="23.7"/>
    <x v="1"/>
  </r>
  <r>
    <s v="ORD0549"/>
    <n v="45457"/>
    <s v="Customer 113"/>
    <x v="2"/>
    <x v="3"/>
    <x v="10"/>
    <n v="3"/>
    <n v="73"/>
    <n v="219"/>
    <n v="122.97"/>
    <n v="96.03"/>
    <x v="0"/>
  </r>
  <r>
    <s v="ORD0550"/>
    <n v="45538"/>
    <s v="Customer 100"/>
    <x v="2"/>
    <x v="0"/>
    <x v="0"/>
    <n v="5"/>
    <n v="63"/>
    <n v="315"/>
    <n v="245.76"/>
    <n v="69.239999999999995"/>
    <x v="0"/>
  </r>
  <r>
    <s v="ORD0551"/>
    <n v="45537"/>
    <s v="Customer 203"/>
    <x v="1"/>
    <x v="0"/>
    <x v="0"/>
    <n v="3"/>
    <n v="53"/>
    <n v="159"/>
    <n v="92.7"/>
    <n v="66.3"/>
    <x v="2"/>
  </r>
  <r>
    <s v="ORD0552"/>
    <n v="45434"/>
    <s v="Customer 131"/>
    <x v="0"/>
    <x v="2"/>
    <x v="12"/>
    <n v="4"/>
    <n v="43"/>
    <n v="172"/>
    <n v="114.12"/>
    <n v="57.88"/>
    <x v="0"/>
  </r>
  <r>
    <s v="ORD0553"/>
    <n v="45516"/>
    <s v="Customer 74"/>
    <x v="0"/>
    <x v="2"/>
    <x v="12"/>
    <n v="4"/>
    <n v="59"/>
    <n v="236"/>
    <n v="162.02000000000001"/>
    <n v="73.98"/>
    <x v="0"/>
  </r>
  <r>
    <s v="ORD0554"/>
    <n v="45397"/>
    <s v="Customer 208"/>
    <x v="1"/>
    <x v="3"/>
    <x v="10"/>
    <n v="1"/>
    <n v="99"/>
    <n v="99"/>
    <n v="53.4"/>
    <n v="45.6"/>
    <x v="0"/>
  </r>
  <r>
    <s v="ORD0555"/>
    <n v="45322"/>
    <s v="Customer 213"/>
    <x v="2"/>
    <x v="0"/>
    <x v="1"/>
    <n v="3"/>
    <n v="27"/>
    <n v="81"/>
    <n v="41.45"/>
    <n v="39.549999999999997"/>
    <x v="1"/>
  </r>
  <r>
    <s v="ORD0556"/>
    <n v="45402"/>
    <s v="Customer 184"/>
    <x v="1"/>
    <x v="0"/>
    <x v="0"/>
    <n v="2"/>
    <n v="87"/>
    <n v="174"/>
    <n v="110.32"/>
    <n v="63.68"/>
    <x v="1"/>
  </r>
  <r>
    <s v="ORD0557"/>
    <n v="45367"/>
    <s v="Customer 64"/>
    <x v="3"/>
    <x v="1"/>
    <x v="3"/>
    <n v="2"/>
    <n v="83"/>
    <n v="166"/>
    <n v="126.46"/>
    <n v="39.54"/>
    <x v="0"/>
  </r>
  <r>
    <s v="ORD0558"/>
    <n v="45555"/>
    <s v="Customer 3"/>
    <x v="2"/>
    <x v="3"/>
    <x v="8"/>
    <n v="1"/>
    <n v="30"/>
    <n v="30"/>
    <n v="15.27"/>
    <n v="14.73"/>
    <x v="2"/>
  </r>
  <r>
    <s v="ORD0559"/>
    <n v="45501"/>
    <s v="Customer 260"/>
    <x v="1"/>
    <x v="0"/>
    <x v="1"/>
    <n v="1"/>
    <n v="54"/>
    <n v="54"/>
    <n v="35.409999999999997"/>
    <n v="18.59"/>
    <x v="3"/>
  </r>
  <r>
    <s v="ORD0560"/>
    <n v="45295"/>
    <s v="Customer 163"/>
    <x v="0"/>
    <x v="1"/>
    <x v="3"/>
    <n v="5"/>
    <n v="45"/>
    <n v="225"/>
    <n v="136.54"/>
    <n v="88.46"/>
    <x v="2"/>
  </r>
  <r>
    <s v="ORD0561"/>
    <n v="45300"/>
    <s v="Customer 226"/>
    <x v="3"/>
    <x v="3"/>
    <x v="5"/>
    <n v="5"/>
    <n v="23"/>
    <n v="115"/>
    <n v="79.180000000000007"/>
    <n v="35.82"/>
    <x v="2"/>
  </r>
  <r>
    <s v="ORD0562"/>
    <n v="45495"/>
    <s v="Customer 48"/>
    <x v="3"/>
    <x v="0"/>
    <x v="0"/>
    <n v="4"/>
    <n v="16"/>
    <n v="64"/>
    <n v="47.37"/>
    <n v="16.63"/>
    <x v="0"/>
  </r>
  <r>
    <s v="ORD0563"/>
    <n v="45468"/>
    <s v="Customer 248"/>
    <x v="2"/>
    <x v="2"/>
    <x v="4"/>
    <n v="1"/>
    <n v="21"/>
    <n v="21"/>
    <n v="13.93"/>
    <n v="7.07"/>
    <x v="2"/>
  </r>
  <r>
    <s v="ORD0564"/>
    <n v="45419"/>
    <s v="Customer 155"/>
    <x v="1"/>
    <x v="1"/>
    <x v="6"/>
    <n v="5"/>
    <n v="32"/>
    <n v="160"/>
    <n v="111.63"/>
    <n v="48.37"/>
    <x v="1"/>
  </r>
  <r>
    <s v="ORD0565"/>
    <n v="45387"/>
    <s v="Customer 254"/>
    <x v="3"/>
    <x v="3"/>
    <x v="8"/>
    <n v="5"/>
    <n v="16"/>
    <n v="80"/>
    <n v="58.32"/>
    <n v="21.68"/>
    <x v="1"/>
  </r>
  <r>
    <s v="ORD0566"/>
    <n v="45304"/>
    <s v="Customer 240"/>
    <x v="2"/>
    <x v="3"/>
    <x v="5"/>
    <n v="5"/>
    <n v="29"/>
    <n v="145"/>
    <n v="97.46"/>
    <n v="47.54"/>
    <x v="1"/>
  </r>
  <r>
    <s v="ORD0567"/>
    <n v="45358"/>
    <s v="Customer 211"/>
    <x v="3"/>
    <x v="3"/>
    <x v="10"/>
    <n v="4"/>
    <n v="64"/>
    <n v="256"/>
    <n v="180.63"/>
    <n v="75.37"/>
    <x v="3"/>
  </r>
  <r>
    <s v="ORD0568"/>
    <n v="45404"/>
    <s v="Customer 42"/>
    <x v="2"/>
    <x v="3"/>
    <x v="8"/>
    <n v="3"/>
    <n v="99"/>
    <n v="297"/>
    <n v="214.51"/>
    <n v="82.49"/>
    <x v="3"/>
  </r>
  <r>
    <s v="ORD0569"/>
    <n v="45441"/>
    <s v="Customer 246"/>
    <x v="3"/>
    <x v="3"/>
    <x v="5"/>
    <n v="3"/>
    <n v="64"/>
    <n v="192"/>
    <n v="120"/>
    <n v="72"/>
    <x v="3"/>
  </r>
  <r>
    <s v="ORD0570"/>
    <n v="45418"/>
    <s v="Customer 175"/>
    <x v="1"/>
    <x v="2"/>
    <x v="9"/>
    <n v="5"/>
    <n v="12"/>
    <n v="60"/>
    <n v="47.52"/>
    <n v="12.48"/>
    <x v="3"/>
  </r>
  <r>
    <s v="ORD0571"/>
    <n v="45499"/>
    <s v="Customer 257"/>
    <x v="0"/>
    <x v="2"/>
    <x v="4"/>
    <n v="5"/>
    <n v="88"/>
    <n v="440"/>
    <n v="311.27"/>
    <n v="128.72999999999999"/>
    <x v="3"/>
  </r>
  <r>
    <s v="ORD0572"/>
    <n v="45341"/>
    <s v="Customer 215"/>
    <x v="1"/>
    <x v="3"/>
    <x v="5"/>
    <n v="3"/>
    <n v="46"/>
    <n v="138"/>
    <n v="70.27"/>
    <n v="67.73"/>
    <x v="0"/>
  </r>
  <r>
    <s v="ORD0573"/>
    <n v="45595"/>
    <s v="Customer 30"/>
    <x v="0"/>
    <x v="2"/>
    <x v="12"/>
    <n v="3"/>
    <n v="53"/>
    <n v="159"/>
    <n v="124.61"/>
    <n v="34.39"/>
    <x v="2"/>
  </r>
  <r>
    <s v="ORD0574"/>
    <n v="45597"/>
    <s v="Customer 85"/>
    <x v="1"/>
    <x v="0"/>
    <x v="1"/>
    <n v="4"/>
    <n v="64"/>
    <n v="256"/>
    <n v="155.97999999999999"/>
    <n v="100.02"/>
    <x v="1"/>
  </r>
  <r>
    <s v="ORD0575"/>
    <n v="45465"/>
    <s v="Customer 15"/>
    <x v="3"/>
    <x v="3"/>
    <x v="5"/>
    <n v="4"/>
    <n v="72"/>
    <n v="288"/>
    <n v="229.69"/>
    <n v="58.31"/>
    <x v="1"/>
  </r>
  <r>
    <s v="ORD0576"/>
    <n v="45360"/>
    <s v="Customer 95"/>
    <x v="3"/>
    <x v="1"/>
    <x v="7"/>
    <n v="5"/>
    <n v="17"/>
    <n v="85"/>
    <n v="47.26"/>
    <n v="37.74"/>
    <x v="3"/>
  </r>
  <r>
    <s v="ORD0577"/>
    <n v="45536"/>
    <s v="Customer 15"/>
    <x v="2"/>
    <x v="2"/>
    <x v="12"/>
    <n v="5"/>
    <n v="100"/>
    <n v="500"/>
    <n v="347.41"/>
    <n v="152.59"/>
    <x v="0"/>
  </r>
  <r>
    <s v="ORD0578"/>
    <n v="45463"/>
    <s v="Customer 8"/>
    <x v="2"/>
    <x v="2"/>
    <x v="4"/>
    <n v="4"/>
    <n v="97"/>
    <n v="388"/>
    <n v="213.68"/>
    <n v="174.32"/>
    <x v="2"/>
  </r>
  <r>
    <s v="ORD0579"/>
    <n v="45511"/>
    <s v="Customer 228"/>
    <x v="3"/>
    <x v="2"/>
    <x v="9"/>
    <n v="3"/>
    <n v="51"/>
    <n v="153"/>
    <n v="99.69"/>
    <n v="53.31"/>
    <x v="1"/>
  </r>
  <r>
    <s v="ORD0580"/>
    <n v="45587"/>
    <s v="Customer 8"/>
    <x v="3"/>
    <x v="3"/>
    <x v="10"/>
    <n v="4"/>
    <n v="86"/>
    <n v="344"/>
    <n v="222.61"/>
    <n v="121.39"/>
    <x v="3"/>
  </r>
  <r>
    <s v="ORD0581"/>
    <n v="45613"/>
    <s v="Customer 12"/>
    <x v="1"/>
    <x v="0"/>
    <x v="2"/>
    <n v="5"/>
    <n v="79"/>
    <n v="395"/>
    <n v="227.98"/>
    <n v="167.02"/>
    <x v="0"/>
  </r>
  <r>
    <s v="ORD0582"/>
    <n v="45412"/>
    <s v="Customer 278"/>
    <x v="1"/>
    <x v="1"/>
    <x v="3"/>
    <n v="3"/>
    <n v="10"/>
    <n v="30"/>
    <n v="17.12"/>
    <n v="12.88"/>
    <x v="3"/>
  </r>
  <r>
    <s v="ORD0583"/>
    <n v="45296"/>
    <s v="Customer 136"/>
    <x v="1"/>
    <x v="2"/>
    <x v="4"/>
    <n v="2"/>
    <n v="75"/>
    <n v="150"/>
    <n v="75.73"/>
    <n v="74.27"/>
    <x v="1"/>
  </r>
  <r>
    <s v="ORD0584"/>
    <n v="45452"/>
    <s v="Customer 286"/>
    <x v="3"/>
    <x v="2"/>
    <x v="9"/>
    <n v="4"/>
    <n v="19"/>
    <n v="76"/>
    <n v="60.65"/>
    <n v="15.35"/>
    <x v="2"/>
  </r>
  <r>
    <s v="ORD0585"/>
    <n v="45629"/>
    <s v="Customer 287"/>
    <x v="3"/>
    <x v="3"/>
    <x v="10"/>
    <n v="3"/>
    <n v="73"/>
    <n v="219"/>
    <n v="168.59"/>
    <n v="50.41"/>
    <x v="0"/>
  </r>
  <r>
    <s v="ORD0586"/>
    <n v="45652"/>
    <s v="Customer 160"/>
    <x v="1"/>
    <x v="2"/>
    <x v="9"/>
    <n v="4"/>
    <n v="79"/>
    <n v="316"/>
    <n v="233.62"/>
    <n v="82.38"/>
    <x v="0"/>
  </r>
  <r>
    <s v="ORD0587"/>
    <n v="45538"/>
    <s v="Customer 284"/>
    <x v="1"/>
    <x v="0"/>
    <x v="0"/>
    <n v="1"/>
    <n v="21"/>
    <n v="21"/>
    <n v="14.7"/>
    <n v="6.3"/>
    <x v="0"/>
  </r>
  <r>
    <s v="ORD0588"/>
    <n v="45304"/>
    <s v="Customer 172"/>
    <x v="0"/>
    <x v="2"/>
    <x v="9"/>
    <n v="3"/>
    <n v="69"/>
    <n v="207"/>
    <n v="112.82"/>
    <n v="94.18"/>
    <x v="1"/>
  </r>
  <r>
    <s v="ORD0589"/>
    <n v="45444"/>
    <s v="Customer 69"/>
    <x v="2"/>
    <x v="3"/>
    <x v="10"/>
    <n v="2"/>
    <n v="25"/>
    <n v="50"/>
    <n v="33.26"/>
    <n v="16.739999999999998"/>
    <x v="3"/>
  </r>
  <r>
    <s v="ORD0590"/>
    <n v="45611"/>
    <s v="Customer 208"/>
    <x v="0"/>
    <x v="2"/>
    <x v="4"/>
    <n v="2"/>
    <n v="32"/>
    <n v="64"/>
    <n v="46.45"/>
    <n v="17.55"/>
    <x v="2"/>
  </r>
  <r>
    <s v="ORD0591"/>
    <n v="45453"/>
    <s v="Customer 123"/>
    <x v="2"/>
    <x v="2"/>
    <x v="4"/>
    <n v="3"/>
    <n v="88"/>
    <n v="264"/>
    <n v="154.06"/>
    <n v="109.94"/>
    <x v="1"/>
  </r>
  <r>
    <s v="ORD0592"/>
    <n v="45503"/>
    <s v="Customer 39"/>
    <x v="2"/>
    <x v="2"/>
    <x v="12"/>
    <n v="4"/>
    <n v="61"/>
    <n v="244"/>
    <n v="170.12"/>
    <n v="73.88"/>
    <x v="0"/>
  </r>
  <r>
    <s v="ORD0593"/>
    <n v="45334"/>
    <s v="Customer 229"/>
    <x v="3"/>
    <x v="0"/>
    <x v="2"/>
    <n v="3"/>
    <n v="79"/>
    <n v="237"/>
    <n v="181.41"/>
    <n v="55.59"/>
    <x v="1"/>
  </r>
  <r>
    <s v="ORD0594"/>
    <n v="45294"/>
    <s v="Customer 233"/>
    <x v="0"/>
    <x v="3"/>
    <x v="8"/>
    <n v="5"/>
    <n v="99"/>
    <n v="495"/>
    <n v="337.1"/>
    <n v="157.9"/>
    <x v="3"/>
  </r>
  <r>
    <s v="ORD0595"/>
    <n v="45411"/>
    <s v="Customer 215"/>
    <x v="2"/>
    <x v="0"/>
    <x v="2"/>
    <n v="3"/>
    <n v="40"/>
    <n v="120"/>
    <n v="66.37"/>
    <n v="53.63"/>
    <x v="1"/>
  </r>
  <r>
    <s v="ORD0596"/>
    <n v="45516"/>
    <s v="Customer 22"/>
    <x v="0"/>
    <x v="3"/>
    <x v="5"/>
    <n v="2"/>
    <n v="21"/>
    <n v="42"/>
    <n v="30.66"/>
    <n v="11.34"/>
    <x v="2"/>
  </r>
  <r>
    <s v="ORD0597"/>
    <n v="45557"/>
    <s v="Customer 42"/>
    <x v="0"/>
    <x v="2"/>
    <x v="9"/>
    <n v="1"/>
    <n v="83"/>
    <n v="83"/>
    <n v="56.99"/>
    <n v="26.01"/>
    <x v="0"/>
  </r>
  <r>
    <s v="ORD0598"/>
    <n v="45639"/>
    <s v="Customer 99"/>
    <x v="1"/>
    <x v="1"/>
    <x v="3"/>
    <n v="1"/>
    <n v="80"/>
    <n v="80"/>
    <n v="53.6"/>
    <n v="26.4"/>
    <x v="0"/>
  </r>
  <r>
    <s v="ORD0599"/>
    <n v="45344"/>
    <s v="Customer 94"/>
    <x v="0"/>
    <x v="2"/>
    <x v="12"/>
    <n v="5"/>
    <n v="30"/>
    <n v="150"/>
    <n v="103.74"/>
    <n v="46.26"/>
    <x v="3"/>
  </r>
  <r>
    <s v="ORD0600"/>
    <n v="45447"/>
    <s v="Customer 300"/>
    <x v="2"/>
    <x v="0"/>
    <x v="1"/>
    <n v="1"/>
    <n v="65"/>
    <n v="65"/>
    <n v="33.659999999999997"/>
    <n v="31.34"/>
    <x v="0"/>
  </r>
  <r>
    <s v="ORD0601"/>
    <n v="45438"/>
    <s v="Customer 57"/>
    <x v="2"/>
    <x v="3"/>
    <x v="5"/>
    <n v="5"/>
    <n v="12"/>
    <n v="60"/>
    <n v="35.29"/>
    <n v="24.71"/>
    <x v="1"/>
  </r>
  <r>
    <s v="ORD0602"/>
    <n v="45526"/>
    <s v="Customer 205"/>
    <x v="3"/>
    <x v="2"/>
    <x v="12"/>
    <n v="5"/>
    <n v="53"/>
    <n v="265"/>
    <n v="168.81"/>
    <n v="96.19"/>
    <x v="1"/>
  </r>
  <r>
    <s v="ORD0603"/>
    <n v="45398"/>
    <s v="Customer 98"/>
    <x v="3"/>
    <x v="0"/>
    <x v="2"/>
    <n v="1"/>
    <n v="87"/>
    <n v="87"/>
    <n v="58.72"/>
    <n v="28.28"/>
    <x v="0"/>
  </r>
  <r>
    <s v="ORD0604"/>
    <n v="45365"/>
    <s v="Customer 17"/>
    <x v="3"/>
    <x v="2"/>
    <x v="12"/>
    <n v="5"/>
    <n v="26"/>
    <n v="130"/>
    <n v="97.47"/>
    <n v="32.53"/>
    <x v="2"/>
  </r>
  <r>
    <s v="ORD0605"/>
    <n v="45639"/>
    <s v="Customer 196"/>
    <x v="0"/>
    <x v="1"/>
    <x v="11"/>
    <n v="5"/>
    <n v="91"/>
    <n v="455"/>
    <n v="289.16000000000003"/>
    <n v="165.84"/>
    <x v="3"/>
  </r>
  <r>
    <s v="ORD0606"/>
    <n v="45521"/>
    <s v="Customer 212"/>
    <x v="3"/>
    <x v="0"/>
    <x v="1"/>
    <n v="5"/>
    <n v="61"/>
    <n v="305"/>
    <n v="166.09"/>
    <n v="138.91"/>
    <x v="3"/>
  </r>
  <r>
    <s v="ORD0607"/>
    <n v="45606"/>
    <s v="Customer 246"/>
    <x v="3"/>
    <x v="2"/>
    <x v="12"/>
    <n v="1"/>
    <n v="93"/>
    <n v="93"/>
    <n v="68.3"/>
    <n v="24.7"/>
    <x v="0"/>
  </r>
  <r>
    <s v="ORD0608"/>
    <n v="45481"/>
    <s v="Customer 169"/>
    <x v="3"/>
    <x v="1"/>
    <x v="6"/>
    <n v="2"/>
    <n v="51"/>
    <n v="102"/>
    <n v="59.32"/>
    <n v="42.68"/>
    <x v="1"/>
  </r>
  <r>
    <s v="ORD0609"/>
    <n v="45492"/>
    <s v="Customer 22"/>
    <x v="2"/>
    <x v="1"/>
    <x v="11"/>
    <n v="5"/>
    <n v="44"/>
    <n v="220"/>
    <n v="122.9"/>
    <n v="97.1"/>
    <x v="0"/>
  </r>
  <r>
    <s v="ORD0610"/>
    <n v="45360"/>
    <s v="Customer 87"/>
    <x v="0"/>
    <x v="2"/>
    <x v="4"/>
    <n v="4"/>
    <n v="46"/>
    <n v="184"/>
    <n v="105.51"/>
    <n v="78.489999999999995"/>
    <x v="2"/>
  </r>
  <r>
    <s v="ORD0611"/>
    <n v="45298"/>
    <s v="Customer 251"/>
    <x v="3"/>
    <x v="3"/>
    <x v="5"/>
    <n v="3"/>
    <n v="80"/>
    <n v="240"/>
    <n v="157.05000000000001"/>
    <n v="82.95"/>
    <x v="3"/>
  </r>
  <r>
    <s v="ORD0612"/>
    <n v="45319"/>
    <s v="Customer 129"/>
    <x v="3"/>
    <x v="0"/>
    <x v="0"/>
    <n v="2"/>
    <n v="67"/>
    <n v="134"/>
    <n v="71.7"/>
    <n v="62.3"/>
    <x v="3"/>
  </r>
  <r>
    <s v="ORD0613"/>
    <n v="45619"/>
    <s v="Customer 132"/>
    <x v="1"/>
    <x v="0"/>
    <x v="0"/>
    <n v="1"/>
    <n v="40"/>
    <n v="40"/>
    <n v="23.2"/>
    <n v="16.8"/>
    <x v="1"/>
  </r>
  <r>
    <s v="ORD0614"/>
    <n v="45592"/>
    <s v="Customer 169"/>
    <x v="3"/>
    <x v="1"/>
    <x v="7"/>
    <n v="1"/>
    <n v="28"/>
    <n v="28"/>
    <n v="20.27"/>
    <n v="7.73"/>
    <x v="2"/>
  </r>
  <r>
    <s v="ORD0615"/>
    <n v="45531"/>
    <s v="Customer 132"/>
    <x v="3"/>
    <x v="2"/>
    <x v="4"/>
    <n v="4"/>
    <n v="40"/>
    <n v="160"/>
    <n v="123.94"/>
    <n v="36.06"/>
    <x v="3"/>
  </r>
  <r>
    <s v="ORD0616"/>
    <n v="45604"/>
    <s v="Customer 285"/>
    <x v="0"/>
    <x v="0"/>
    <x v="1"/>
    <n v="3"/>
    <n v="68"/>
    <n v="204"/>
    <n v="138.28"/>
    <n v="65.72"/>
    <x v="2"/>
  </r>
  <r>
    <s v="ORD0617"/>
    <n v="45519"/>
    <s v="Customer 231"/>
    <x v="3"/>
    <x v="0"/>
    <x v="1"/>
    <n v="2"/>
    <n v="88"/>
    <n v="176"/>
    <n v="129.66999999999999"/>
    <n v="46.33"/>
    <x v="3"/>
  </r>
  <r>
    <s v="ORD0618"/>
    <n v="45635"/>
    <s v="Customer 231"/>
    <x v="1"/>
    <x v="1"/>
    <x v="7"/>
    <n v="4"/>
    <n v="53"/>
    <n v="212"/>
    <n v="132.33000000000001"/>
    <n v="79.67"/>
    <x v="0"/>
  </r>
  <r>
    <s v="ORD0619"/>
    <n v="45511"/>
    <s v="Customer 239"/>
    <x v="2"/>
    <x v="1"/>
    <x v="11"/>
    <n v="4"/>
    <n v="91"/>
    <n v="364"/>
    <n v="220.7"/>
    <n v="143.30000000000001"/>
    <x v="3"/>
  </r>
  <r>
    <s v="ORD0620"/>
    <n v="45449"/>
    <s v="Customer 282"/>
    <x v="0"/>
    <x v="0"/>
    <x v="2"/>
    <n v="2"/>
    <n v="50"/>
    <n v="100"/>
    <n v="52.21"/>
    <n v="47.79"/>
    <x v="1"/>
  </r>
  <r>
    <s v="ORD0621"/>
    <n v="45557"/>
    <s v="Customer 20"/>
    <x v="3"/>
    <x v="3"/>
    <x v="8"/>
    <n v="5"/>
    <n v="86"/>
    <n v="430"/>
    <n v="221.46"/>
    <n v="208.54"/>
    <x v="3"/>
  </r>
  <r>
    <s v="ORD0622"/>
    <n v="45538"/>
    <s v="Customer 93"/>
    <x v="3"/>
    <x v="2"/>
    <x v="9"/>
    <n v="4"/>
    <n v="24"/>
    <n v="96"/>
    <n v="59.95"/>
    <n v="36.049999999999997"/>
    <x v="0"/>
  </r>
  <r>
    <s v="ORD0623"/>
    <n v="45415"/>
    <s v="Customer 203"/>
    <x v="0"/>
    <x v="3"/>
    <x v="5"/>
    <n v="3"/>
    <n v="18"/>
    <n v="54"/>
    <n v="30.95"/>
    <n v="23.05"/>
    <x v="1"/>
  </r>
  <r>
    <s v="ORD0624"/>
    <n v="45573"/>
    <s v="Customer 184"/>
    <x v="1"/>
    <x v="3"/>
    <x v="5"/>
    <n v="3"/>
    <n v="55"/>
    <n v="165"/>
    <n v="95.66"/>
    <n v="69.34"/>
    <x v="2"/>
  </r>
  <r>
    <s v="ORD0625"/>
    <n v="45368"/>
    <s v="Customer 24"/>
    <x v="2"/>
    <x v="3"/>
    <x v="8"/>
    <n v="3"/>
    <n v="38"/>
    <n v="114"/>
    <n v="77.33"/>
    <n v="36.67"/>
    <x v="0"/>
  </r>
  <r>
    <s v="ORD0626"/>
    <n v="45406"/>
    <s v="Customer 180"/>
    <x v="0"/>
    <x v="2"/>
    <x v="4"/>
    <n v="3"/>
    <n v="45"/>
    <n v="135"/>
    <n v="76.67"/>
    <n v="58.33"/>
    <x v="1"/>
  </r>
  <r>
    <s v="ORD0627"/>
    <n v="45367"/>
    <s v="Customer 271"/>
    <x v="2"/>
    <x v="0"/>
    <x v="1"/>
    <n v="1"/>
    <n v="59"/>
    <n v="59"/>
    <n v="42.75"/>
    <n v="16.25"/>
    <x v="3"/>
  </r>
  <r>
    <s v="ORD0628"/>
    <n v="45420"/>
    <s v="Customer 87"/>
    <x v="2"/>
    <x v="1"/>
    <x v="3"/>
    <n v="5"/>
    <n v="29"/>
    <n v="145"/>
    <n v="86.81"/>
    <n v="58.19"/>
    <x v="1"/>
  </r>
  <r>
    <s v="ORD0629"/>
    <n v="45592"/>
    <s v="Customer 77"/>
    <x v="0"/>
    <x v="0"/>
    <x v="0"/>
    <n v="1"/>
    <n v="35"/>
    <n v="35"/>
    <n v="25.79"/>
    <n v="9.2100000000000009"/>
    <x v="2"/>
  </r>
  <r>
    <s v="ORD0630"/>
    <n v="45628"/>
    <s v="Customer 237"/>
    <x v="1"/>
    <x v="2"/>
    <x v="9"/>
    <n v="1"/>
    <n v="82"/>
    <n v="82"/>
    <n v="41.94"/>
    <n v="40.06"/>
    <x v="2"/>
  </r>
  <r>
    <s v="ORD0631"/>
    <n v="45642"/>
    <s v="Customer 173"/>
    <x v="3"/>
    <x v="2"/>
    <x v="9"/>
    <n v="5"/>
    <n v="23"/>
    <n v="115"/>
    <n v="63.38"/>
    <n v="51.62"/>
    <x v="0"/>
  </r>
  <r>
    <s v="ORD0632"/>
    <n v="45629"/>
    <s v="Customer 273"/>
    <x v="2"/>
    <x v="0"/>
    <x v="0"/>
    <n v="3"/>
    <n v="80"/>
    <n v="240"/>
    <n v="170.01"/>
    <n v="69.989999999999995"/>
    <x v="3"/>
  </r>
  <r>
    <s v="ORD0633"/>
    <n v="45358"/>
    <s v="Customer 242"/>
    <x v="0"/>
    <x v="0"/>
    <x v="1"/>
    <n v="3"/>
    <n v="28"/>
    <n v="84"/>
    <n v="65.599999999999994"/>
    <n v="18.399999999999999"/>
    <x v="2"/>
  </r>
  <r>
    <s v="ORD0634"/>
    <n v="45380"/>
    <s v="Customer 249"/>
    <x v="1"/>
    <x v="2"/>
    <x v="4"/>
    <n v="3"/>
    <n v="62"/>
    <n v="186"/>
    <n v="112.14"/>
    <n v="73.86"/>
    <x v="3"/>
  </r>
  <r>
    <s v="ORD0635"/>
    <n v="45550"/>
    <s v="Customer 119"/>
    <x v="0"/>
    <x v="2"/>
    <x v="4"/>
    <n v="4"/>
    <n v="27"/>
    <n v="108"/>
    <n v="71.84"/>
    <n v="36.159999999999997"/>
    <x v="1"/>
  </r>
  <r>
    <s v="ORD0636"/>
    <n v="45499"/>
    <s v="Customer 107"/>
    <x v="1"/>
    <x v="2"/>
    <x v="4"/>
    <n v="4"/>
    <n v="86"/>
    <n v="344"/>
    <n v="193.17"/>
    <n v="150.83000000000001"/>
    <x v="3"/>
  </r>
  <r>
    <s v="ORD0637"/>
    <n v="45546"/>
    <s v="Customer 285"/>
    <x v="3"/>
    <x v="1"/>
    <x v="6"/>
    <n v="2"/>
    <n v="28"/>
    <n v="56"/>
    <n v="30.89"/>
    <n v="25.11"/>
    <x v="1"/>
  </r>
  <r>
    <s v="ORD0638"/>
    <n v="45470"/>
    <s v="Customer 19"/>
    <x v="2"/>
    <x v="3"/>
    <x v="5"/>
    <n v="4"/>
    <n v="57"/>
    <n v="228"/>
    <n v="145.01"/>
    <n v="82.99"/>
    <x v="2"/>
  </r>
  <r>
    <s v="ORD0639"/>
    <n v="45303"/>
    <s v="Customer 141"/>
    <x v="1"/>
    <x v="1"/>
    <x v="11"/>
    <n v="1"/>
    <n v="77"/>
    <n v="77"/>
    <n v="51.38"/>
    <n v="25.62"/>
    <x v="1"/>
  </r>
  <r>
    <s v="ORD0640"/>
    <n v="45353"/>
    <s v="Customer 177"/>
    <x v="0"/>
    <x v="0"/>
    <x v="0"/>
    <n v="5"/>
    <n v="74"/>
    <n v="370"/>
    <n v="256.20999999999998"/>
    <n v="113.79"/>
    <x v="0"/>
  </r>
  <r>
    <s v="ORD0641"/>
    <n v="45403"/>
    <s v="Customer 59"/>
    <x v="3"/>
    <x v="3"/>
    <x v="8"/>
    <n v="5"/>
    <n v="79"/>
    <n v="395"/>
    <n v="297.3"/>
    <n v="97.7"/>
    <x v="2"/>
  </r>
  <r>
    <s v="ORD0642"/>
    <n v="45371"/>
    <s v="Customer 259"/>
    <x v="2"/>
    <x v="2"/>
    <x v="4"/>
    <n v="4"/>
    <n v="11"/>
    <n v="44"/>
    <n v="24.78"/>
    <n v="19.22"/>
    <x v="2"/>
  </r>
  <r>
    <s v="ORD0643"/>
    <n v="45614"/>
    <s v="Customer 278"/>
    <x v="2"/>
    <x v="0"/>
    <x v="2"/>
    <n v="3"/>
    <n v="81"/>
    <n v="243"/>
    <n v="179.28"/>
    <n v="63.72"/>
    <x v="0"/>
  </r>
  <r>
    <s v="ORD0644"/>
    <n v="45565"/>
    <s v="Customer 150"/>
    <x v="2"/>
    <x v="0"/>
    <x v="1"/>
    <n v="4"/>
    <n v="51"/>
    <n v="204"/>
    <n v="110.21"/>
    <n v="93.79"/>
    <x v="0"/>
  </r>
  <r>
    <s v="ORD0645"/>
    <n v="45329"/>
    <s v="Customer 42"/>
    <x v="3"/>
    <x v="2"/>
    <x v="12"/>
    <n v="1"/>
    <n v="100"/>
    <n v="100"/>
    <n v="61.63"/>
    <n v="38.369999999999997"/>
    <x v="2"/>
  </r>
  <r>
    <s v="ORD0646"/>
    <n v="45381"/>
    <s v="Customer 156"/>
    <x v="0"/>
    <x v="0"/>
    <x v="0"/>
    <n v="1"/>
    <n v="21"/>
    <n v="21"/>
    <n v="16.52"/>
    <n v="4.4800000000000004"/>
    <x v="1"/>
  </r>
  <r>
    <s v="ORD0647"/>
    <n v="45566"/>
    <s v="Customer 229"/>
    <x v="1"/>
    <x v="3"/>
    <x v="8"/>
    <n v="3"/>
    <n v="40"/>
    <n v="120"/>
    <n v="72.03"/>
    <n v="47.97"/>
    <x v="2"/>
  </r>
  <r>
    <s v="ORD0648"/>
    <n v="45503"/>
    <s v="Customer 144"/>
    <x v="3"/>
    <x v="0"/>
    <x v="2"/>
    <n v="2"/>
    <n v="69"/>
    <n v="138"/>
    <n v="92.71"/>
    <n v="45.29"/>
    <x v="2"/>
  </r>
  <r>
    <s v="ORD0649"/>
    <n v="45309"/>
    <s v="Customer 55"/>
    <x v="3"/>
    <x v="2"/>
    <x v="12"/>
    <n v="1"/>
    <n v="87"/>
    <n v="87"/>
    <n v="48.57"/>
    <n v="38.43"/>
    <x v="3"/>
  </r>
  <r>
    <s v="ORD0650"/>
    <n v="45611"/>
    <s v="Customer 195"/>
    <x v="0"/>
    <x v="1"/>
    <x v="11"/>
    <n v="3"/>
    <n v="84"/>
    <n v="252"/>
    <n v="133.85"/>
    <n v="118.15"/>
    <x v="3"/>
  </r>
  <r>
    <s v="ORD0651"/>
    <n v="45569"/>
    <s v="Customer 266"/>
    <x v="2"/>
    <x v="3"/>
    <x v="10"/>
    <n v="2"/>
    <n v="91"/>
    <n v="182"/>
    <n v="91.73"/>
    <n v="90.27"/>
    <x v="1"/>
  </r>
  <r>
    <s v="ORD0652"/>
    <n v="45423"/>
    <s v="Customer 88"/>
    <x v="0"/>
    <x v="2"/>
    <x v="4"/>
    <n v="5"/>
    <n v="22"/>
    <n v="110"/>
    <n v="84.8"/>
    <n v="25.2"/>
    <x v="0"/>
  </r>
  <r>
    <s v="ORD0653"/>
    <n v="45400"/>
    <s v="Customer 222"/>
    <x v="1"/>
    <x v="2"/>
    <x v="4"/>
    <n v="1"/>
    <n v="13"/>
    <n v="13"/>
    <n v="7.12"/>
    <n v="5.88"/>
    <x v="2"/>
  </r>
  <r>
    <s v="ORD0654"/>
    <n v="45395"/>
    <s v="Customer 53"/>
    <x v="1"/>
    <x v="1"/>
    <x v="11"/>
    <n v="1"/>
    <n v="65"/>
    <n v="65"/>
    <n v="39.130000000000003"/>
    <n v="25.87"/>
    <x v="0"/>
  </r>
  <r>
    <s v="ORD0655"/>
    <n v="45365"/>
    <s v="Customer 112"/>
    <x v="3"/>
    <x v="0"/>
    <x v="1"/>
    <n v="2"/>
    <n v="46"/>
    <n v="92"/>
    <n v="50.22"/>
    <n v="41.78"/>
    <x v="1"/>
  </r>
  <r>
    <s v="ORD0656"/>
    <n v="45654"/>
    <s v="Customer 145"/>
    <x v="0"/>
    <x v="1"/>
    <x v="11"/>
    <n v="3"/>
    <n v="40"/>
    <n v="120"/>
    <n v="72.17"/>
    <n v="47.83"/>
    <x v="0"/>
  </r>
  <r>
    <s v="ORD0657"/>
    <n v="45514"/>
    <s v="Customer 90"/>
    <x v="2"/>
    <x v="3"/>
    <x v="8"/>
    <n v="4"/>
    <n v="100"/>
    <n v="400"/>
    <n v="241.41"/>
    <n v="158.59"/>
    <x v="3"/>
  </r>
  <r>
    <s v="ORD0658"/>
    <n v="45463"/>
    <s v="Customer 64"/>
    <x v="3"/>
    <x v="2"/>
    <x v="12"/>
    <n v="3"/>
    <n v="98"/>
    <n v="294"/>
    <n v="220.3"/>
    <n v="73.7"/>
    <x v="2"/>
  </r>
  <r>
    <s v="ORD0659"/>
    <n v="45490"/>
    <s v="Customer 286"/>
    <x v="2"/>
    <x v="2"/>
    <x v="4"/>
    <n v="5"/>
    <n v="60"/>
    <n v="300"/>
    <n v="215.72"/>
    <n v="84.28"/>
    <x v="2"/>
  </r>
  <r>
    <s v="ORD0660"/>
    <n v="45357"/>
    <s v="Customer 196"/>
    <x v="3"/>
    <x v="0"/>
    <x v="0"/>
    <n v="5"/>
    <n v="28"/>
    <n v="140"/>
    <n v="82.16"/>
    <n v="57.84"/>
    <x v="2"/>
  </r>
  <r>
    <s v="ORD0661"/>
    <n v="45307"/>
    <s v="Customer 46"/>
    <x v="3"/>
    <x v="2"/>
    <x v="4"/>
    <n v="1"/>
    <n v="11"/>
    <n v="11"/>
    <n v="6.34"/>
    <n v="4.66"/>
    <x v="0"/>
  </r>
  <r>
    <s v="ORD0662"/>
    <n v="45460"/>
    <s v="Customer 85"/>
    <x v="1"/>
    <x v="2"/>
    <x v="12"/>
    <n v="4"/>
    <n v="15"/>
    <n v="60"/>
    <n v="47.85"/>
    <n v="12.15"/>
    <x v="1"/>
  </r>
  <r>
    <s v="ORD0663"/>
    <n v="45544"/>
    <s v="Customer 103"/>
    <x v="2"/>
    <x v="1"/>
    <x v="7"/>
    <n v="1"/>
    <n v="88"/>
    <n v="88"/>
    <n v="67.13"/>
    <n v="20.87"/>
    <x v="0"/>
  </r>
  <r>
    <s v="ORD0664"/>
    <n v="45345"/>
    <s v="Customer 282"/>
    <x v="3"/>
    <x v="0"/>
    <x v="1"/>
    <n v="4"/>
    <n v="78"/>
    <n v="312"/>
    <n v="200.15"/>
    <n v="111.85"/>
    <x v="1"/>
  </r>
  <r>
    <s v="ORD0665"/>
    <n v="45476"/>
    <s v="Customer 6"/>
    <x v="2"/>
    <x v="0"/>
    <x v="0"/>
    <n v="4"/>
    <n v="40"/>
    <n v="160"/>
    <n v="81.37"/>
    <n v="78.63"/>
    <x v="3"/>
  </r>
  <r>
    <s v="ORD0666"/>
    <n v="45550"/>
    <s v="Customer 132"/>
    <x v="0"/>
    <x v="0"/>
    <x v="2"/>
    <n v="2"/>
    <n v="92"/>
    <n v="184"/>
    <n v="109.7"/>
    <n v="74.3"/>
    <x v="0"/>
  </r>
  <r>
    <s v="ORD0667"/>
    <n v="45326"/>
    <s v="Customer 20"/>
    <x v="3"/>
    <x v="2"/>
    <x v="12"/>
    <n v="3"/>
    <n v="92"/>
    <n v="276"/>
    <n v="213.55"/>
    <n v="62.45"/>
    <x v="3"/>
  </r>
  <r>
    <s v="ORD0668"/>
    <n v="45440"/>
    <s v="Customer 117"/>
    <x v="1"/>
    <x v="0"/>
    <x v="1"/>
    <n v="5"/>
    <n v="29"/>
    <n v="145"/>
    <n v="114.56"/>
    <n v="30.44"/>
    <x v="3"/>
  </r>
  <r>
    <s v="ORD0669"/>
    <n v="45453"/>
    <s v="Customer 22"/>
    <x v="2"/>
    <x v="0"/>
    <x v="1"/>
    <n v="2"/>
    <n v="80"/>
    <n v="160"/>
    <n v="107.58"/>
    <n v="52.42"/>
    <x v="1"/>
  </r>
  <r>
    <s v="ORD0670"/>
    <n v="45437"/>
    <s v="Customer 59"/>
    <x v="0"/>
    <x v="2"/>
    <x v="9"/>
    <n v="5"/>
    <n v="100"/>
    <n v="500"/>
    <n v="322.60000000000002"/>
    <n v="177.4"/>
    <x v="2"/>
  </r>
  <r>
    <s v="ORD0671"/>
    <n v="45472"/>
    <s v="Customer 95"/>
    <x v="0"/>
    <x v="2"/>
    <x v="4"/>
    <n v="2"/>
    <n v="93"/>
    <n v="186"/>
    <n v="94.56"/>
    <n v="91.44"/>
    <x v="1"/>
  </r>
  <r>
    <s v="ORD0672"/>
    <n v="45399"/>
    <s v="Customer 254"/>
    <x v="0"/>
    <x v="2"/>
    <x v="9"/>
    <n v="4"/>
    <n v="13"/>
    <n v="52"/>
    <n v="33.99"/>
    <n v="18.010000000000002"/>
    <x v="1"/>
  </r>
  <r>
    <s v="ORD0673"/>
    <n v="45302"/>
    <s v="Customer 146"/>
    <x v="2"/>
    <x v="3"/>
    <x v="5"/>
    <n v="2"/>
    <n v="28"/>
    <n v="56"/>
    <n v="44.37"/>
    <n v="11.63"/>
    <x v="2"/>
  </r>
  <r>
    <s v="ORD0674"/>
    <n v="45431"/>
    <s v="Customer 100"/>
    <x v="0"/>
    <x v="3"/>
    <x v="8"/>
    <n v="3"/>
    <n v="82"/>
    <n v="246"/>
    <n v="143.44"/>
    <n v="102.56"/>
    <x v="3"/>
  </r>
  <r>
    <s v="ORD0675"/>
    <n v="45522"/>
    <s v="Customer 163"/>
    <x v="2"/>
    <x v="3"/>
    <x v="5"/>
    <n v="5"/>
    <n v="74"/>
    <n v="370"/>
    <n v="211.37"/>
    <n v="158.63"/>
    <x v="1"/>
  </r>
  <r>
    <s v="ORD0676"/>
    <n v="45337"/>
    <s v="Customer 103"/>
    <x v="2"/>
    <x v="0"/>
    <x v="1"/>
    <n v="2"/>
    <n v="42"/>
    <n v="84"/>
    <n v="60.03"/>
    <n v="23.97"/>
    <x v="2"/>
  </r>
  <r>
    <s v="ORD0677"/>
    <n v="45596"/>
    <s v="Customer 187"/>
    <x v="2"/>
    <x v="0"/>
    <x v="0"/>
    <n v="3"/>
    <n v="91"/>
    <n v="273"/>
    <n v="208.29"/>
    <n v="64.709999999999994"/>
    <x v="1"/>
  </r>
  <r>
    <s v="ORD0678"/>
    <n v="45418"/>
    <s v="Customer 171"/>
    <x v="0"/>
    <x v="0"/>
    <x v="0"/>
    <n v="3"/>
    <n v="19"/>
    <n v="57"/>
    <n v="29.41"/>
    <n v="27.59"/>
    <x v="3"/>
  </r>
  <r>
    <s v="ORD0679"/>
    <n v="45539"/>
    <s v="Customer 38"/>
    <x v="2"/>
    <x v="3"/>
    <x v="10"/>
    <n v="4"/>
    <n v="43"/>
    <n v="172"/>
    <n v="126.7"/>
    <n v="45.3"/>
    <x v="2"/>
  </r>
  <r>
    <s v="ORD0680"/>
    <n v="45428"/>
    <s v="Customer 243"/>
    <x v="3"/>
    <x v="3"/>
    <x v="10"/>
    <n v="2"/>
    <n v="98"/>
    <n v="196"/>
    <n v="103.91"/>
    <n v="92.09"/>
    <x v="0"/>
  </r>
  <r>
    <s v="ORD0681"/>
    <n v="45585"/>
    <s v="Customer 232"/>
    <x v="1"/>
    <x v="3"/>
    <x v="8"/>
    <n v="2"/>
    <n v="39"/>
    <n v="78"/>
    <n v="49.51"/>
    <n v="28.49"/>
    <x v="3"/>
  </r>
  <r>
    <s v="ORD0682"/>
    <n v="45479"/>
    <s v="Customer 258"/>
    <x v="1"/>
    <x v="0"/>
    <x v="1"/>
    <n v="1"/>
    <n v="68"/>
    <n v="68"/>
    <n v="45.17"/>
    <n v="22.83"/>
    <x v="1"/>
  </r>
  <r>
    <s v="ORD0683"/>
    <n v="45583"/>
    <s v="Customer 156"/>
    <x v="2"/>
    <x v="0"/>
    <x v="2"/>
    <n v="5"/>
    <n v="17"/>
    <n v="85"/>
    <n v="51.29"/>
    <n v="33.71"/>
    <x v="2"/>
  </r>
  <r>
    <s v="ORD0684"/>
    <n v="45411"/>
    <s v="Customer 60"/>
    <x v="3"/>
    <x v="0"/>
    <x v="1"/>
    <n v="2"/>
    <n v="54"/>
    <n v="108"/>
    <n v="64.34"/>
    <n v="43.66"/>
    <x v="2"/>
  </r>
  <r>
    <s v="ORD0685"/>
    <n v="45436"/>
    <s v="Customer 73"/>
    <x v="0"/>
    <x v="2"/>
    <x v="12"/>
    <n v="3"/>
    <n v="60"/>
    <n v="180"/>
    <n v="123.68"/>
    <n v="56.32"/>
    <x v="1"/>
  </r>
  <r>
    <s v="ORD0686"/>
    <n v="45396"/>
    <s v="Customer 104"/>
    <x v="2"/>
    <x v="0"/>
    <x v="0"/>
    <n v="4"/>
    <n v="75"/>
    <n v="300"/>
    <n v="212.41"/>
    <n v="87.59"/>
    <x v="1"/>
  </r>
  <r>
    <s v="ORD0687"/>
    <n v="45553"/>
    <s v="Customer 174"/>
    <x v="3"/>
    <x v="3"/>
    <x v="10"/>
    <n v="1"/>
    <n v="52"/>
    <n v="52"/>
    <n v="36.51"/>
    <n v="15.49"/>
    <x v="1"/>
  </r>
  <r>
    <s v="ORD0688"/>
    <n v="45622"/>
    <s v="Customer 103"/>
    <x v="3"/>
    <x v="2"/>
    <x v="9"/>
    <n v="2"/>
    <n v="62"/>
    <n v="124"/>
    <n v="74.069999999999993"/>
    <n v="49.93"/>
    <x v="0"/>
  </r>
  <r>
    <s v="ORD0689"/>
    <n v="45365"/>
    <s v="Customer 138"/>
    <x v="0"/>
    <x v="3"/>
    <x v="8"/>
    <n v="4"/>
    <n v="87"/>
    <n v="348"/>
    <n v="268.5"/>
    <n v="79.5"/>
    <x v="2"/>
  </r>
  <r>
    <s v="ORD0690"/>
    <n v="45602"/>
    <s v="Customer 246"/>
    <x v="0"/>
    <x v="0"/>
    <x v="0"/>
    <n v="2"/>
    <n v="56"/>
    <n v="112"/>
    <n v="83.54"/>
    <n v="28.46"/>
    <x v="2"/>
  </r>
  <r>
    <s v="ORD0691"/>
    <n v="45335"/>
    <s v="Customer 68"/>
    <x v="0"/>
    <x v="3"/>
    <x v="10"/>
    <n v="5"/>
    <n v="74"/>
    <n v="370"/>
    <n v="227.5"/>
    <n v="142.5"/>
    <x v="0"/>
  </r>
  <r>
    <s v="ORD0692"/>
    <n v="45439"/>
    <s v="Customer 174"/>
    <x v="3"/>
    <x v="2"/>
    <x v="4"/>
    <n v="3"/>
    <n v="67"/>
    <n v="201"/>
    <n v="150.84"/>
    <n v="50.16"/>
    <x v="0"/>
  </r>
  <r>
    <s v="ORD0693"/>
    <n v="45540"/>
    <s v="Customer 65"/>
    <x v="1"/>
    <x v="1"/>
    <x v="3"/>
    <n v="4"/>
    <n v="30"/>
    <n v="120"/>
    <n v="80.95"/>
    <n v="39.049999999999997"/>
    <x v="0"/>
  </r>
  <r>
    <s v="ORD0694"/>
    <n v="45441"/>
    <s v="Customer 24"/>
    <x v="2"/>
    <x v="3"/>
    <x v="8"/>
    <n v="5"/>
    <n v="100"/>
    <n v="500"/>
    <n v="293.23"/>
    <n v="206.77"/>
    <x v="1"/>
  </r>
  <r>
    <s v="ORD0695"/>
    <n v="45360"/>
    <s v="Customer 109"/>
    <x v="2"/>
    <x v="0"/>
    <x v="0"/>
    <n v="1"/>
    <n v="65"/>
    <n v="65"/>
    <n v="43.46"/>
    <n v="21.54"/>
    <x v="2"/>
  </r>
  <r>
    <s v="ORD0696"/>
    <n v="45590"/>
    <s v="Customer 72"/>
    <x v="2"/>
    <x v="3"/>
    <x v="5"/>
    <n v="5"/>
    <n v="66"/>
    <n v="330"/>
    <n v="221.55"/>
    <n v="108.45"/>
    <x v="3"/>
  </r>
  <r>
    <s v="ORD0697"/>
    <n v="45573"/>
    <s v="Customer 124"/>
    <x v="1"/>
    <x v="2"/>
    <x v="4"/>
    <n v="1"/>
    <n v="10"/>
    <n v="10"/>
    <n v="6.91"/>
    <n v="3.09"/>
    <x v="1"/>
  </r>
  <r>
    <s v="ORD0698"/>
    <n v="45640"/>
    <s v="Customer 189"/>
    <x v="3"/>
    <x v="3"/>
    <x v="5"/>
    <n v="3"/>
    <n v="45"/>
    <n v="135"/>
    <n v="87.41"/>
    <n v="47.59"/>
    <x v="0"/>
  </r>
  <r>
    <s v="ORD0699"/>
    <n v="45352"/>
    <s v="Customer 131"/>
    <x v="1"/>
    <x v="3"/>
    <x v="8"/>
    <n v="2"/>
    <n v="61"/>
    <n v="122"/>
    <n v="81.33"/>
    <n v="40.67"/>
    <x v="1"/>
  </r>
  <r>
    <s v="ORD0700"/>
    <n v="45483"/>
    <s v="Customer 61"/>
    <x v="1"/>
    <x v="3"/>
    <x v="8"/>
    <n v="5"/>
    <n v="57"/>
    <n v="285"/>
    <n v="175.48"/>
    <n v="109.52"/>
    <x v="0"/>
  </r>
  <r>
    <s v="ORD0701"/>
    <n v="45650"/>
    <s v="Customer 293"/>
    <x v="2"/>
    <x v="2"/>
    <x v="9"/>
    <n v="3"/>
    <n v="79"/>
    <n v="237"/>
    <n v="149.09"/>
    <n v="87.91"/>
    <x v="3"/>
  </r>
  <r>
    <s v="ORD0702"/>
    <n v="45545"/>
    <s v="Customer 197"/>
    <x v="3"/>
    <x v="1"/>
    <x v="6"/>
    <n v="3"/>
    <n v="86"/>
    <n v="258"/>
    <n v="176.94"/>
    <n v="81.06"/>
    <x v="0"/>
  </r>
  <r>
    <s v="ORD0703"/>
    <n v="45363"/>
    <s v="Customer 57"/>
    <x v="1"/>
    <x v="2"/>
    <x v="9"/>
    <n v="1"/>
    <n v="14"/>
    <n v="14"/>
    <n v="9.89"/>
    <n v="4.1100000000000003"/>
    <x v="1"/>
  </r>
  <r>
    <s v="ORD0704"/>
    <n v="45420"/>
    <s v="Customer 144"/>
    <x v="1"/>
    <x v="2"/>
    <x v="12"/>
    <n v="2"/>
    <n v="10"/>
    <n v="20"/>
    <n v="14.22"/>
    <n v="5.78"/>
    <x v="3"/>
  </r>
  <r>
    <s v="ORD0705"/>
    <n v="45537"/>
    <s v="Customer 31"/>
    <x v="1"/>
    <x v="1"/>
    <x v="11"/>
    <n v="5"/>
    <n v="100"/>
    <n v="500"/>
    <n v="333.35"/>
    <n v="166.65"/>
    <x v="2"/>
  </r>
  <r>
    <s v="ORD0706"/>
    <n v="45404"/>
    <s v="Customer 23"/>
    <x v="0"/>
    <x v="2"/>
    <x v="4"/>
    <n v="5"/>
    <n v="51"/>
    <n v="255"/>
    <n v="170.72"/>
    <n v="84.28"/>
    <x v="3"/>
  </r>
  <r>
    <s v="ORD0707"/>
    <n v="45417"/>
    <s v="Customer 296"/>
    <x v="0"/>
    <x v="2"/>
    <x v="9"/>
    <n v="1"/>
    <n v="57"/>
    <n v="57"/>
    <n v="35.590000000000003"/>
    <n v="21.41"/>
    <x v="0"/>
  </r>
  <r>
    <s v="ORD0708"/>
    <n v="45557"/>
    <s v="Customer 227"/>
    <x v="0"/>
    <x v="1"/>
    <x v="7"/>
    <n v="3"/>
    <n v="34"/>
    <n v="102"/>
    <n v="79.319999999999993"/>
    <n v="22.68"/>
    <x v="2"/>
  </r>
  <r>
    <s v="ORD0709"/>
    <n v="45581"/>
    <s v="Customer 22"/>
    <x v="1"/>
    <x v="2"/>
    <x v="12"/>
    <n v="3"/>
    <n v="84"/>
    <n v="252"/>
    <n v="198.46"/>
    <n v="53.54"/>
    <x v="3"/>
  </r>
  <r>
    <s v="ORD0710"/>
    <n v="45608"/>
    <s v="Customer 159"/>
    <x v="3"/>
    <x v="0"/>
    <x v="2"/>
    <n v="3"/>
    <n v="37"/>
    <n v="111"/>
    <n v="78.510000000000005"/>
    <n v="32.49"/>
    <x v="1"/>
  </r>
  <r>
    <s v="ORD0711"/>
    <n v="45602"/>
    <s v="Customer 205"/>
    <x v="1"/>
    <x v="1"/>
    <x v="7"/>
    <n v="4"/>
    <n v="58"/>
    <n v="232"/>
    <n v="127.36"/>
    <n v="104.64"/>
    <x v="3"/>
  </r>
  <r>
    <s v="ORD0712"/>
    <n v="45538"/>
    <s v="Customer 25"/>
    <x v="1"/>
    <x v="0"/>
    <x v="1"/>
    <n v="2"/>
    <n v="99"/>
    <n v="198"/>
    <n v="102.07"/>
    <n v="95.93"/>
    <x v="1"/>
  </r>
  <r>
    <s v="ORD0713"/>
    <n v="45636"/>
    <s v="Customer 267"/>
    <x v="2"/>
    <x v="1"/>
    <x v="7"/>
    <n v="2"/>
    <n v="27"/>
    <n v="54"/>
    <n v="38.18"/>
    <n v="15.82"/>
    <x v="2"/>
  </r>
  <r>
    <s v="ORD0714"/>
    <n v="45307"/>
    <s v="Customer 244"/>
    <x v="1"/>
    <x v="0"/>
    <x v="2"/>
    <n v="1"/>
    <n v="54"/>
    <n v="54"/>
    <n v="38.46"/>
    <n v="15.54"/>
    <x v="0"/>
  </r>
  <r>
    <s v="ORD0715"/>
    <n v="45346"/>
    <s v="Customer 258"/>
    <x v="0"/>
    <x v="1"/>
    <x v="7"/>
    <n v="1"/>
    <n v="46"/>
    <n v="46"/>
    <n v="26.23"/>
    <n v="19.77"/>
    <x v="3"/>
  </r>
  <r>
    <s v="ORD0716"/>
    <n v="45451"/>
    <s v="Customer 227"/>
    <x v="1"/>
    <x v="2"/>
    <x v="12"/>
    <n v="5"/>
    <n v="18"/>
    <n v="90"/>
    <n v="45.41"/>
    <n v="44.59"/>
    <x v="1"/>
  </r>
  <r>
    <s v="ORD0717"/>
    <n v="45395"/>
    <s v="Customer 78"/>
    <x v="3"/>
    <x v="0"/>
    <x v="2"/>
    <n v="4"/>
    <n v="11"/>
    <n v="44"/>
    <n v="22.07"/>
    <n v="21.93"/>
    <x v="2"/>
  </r>
  <r>
    <s v="ORD0718"/>
    <n v="45477"/>
    <s v="Customer 226"/>
    <x v="3"/>
    <x v="2"/>
    <x v="12"/>
    <n v="3"/>
    <n v="88"/>
    <n v="264"/>
    <n v="203.17"/>
    <n v="60.83"/>
    <x v="2"/>
  </r>
  <r>
    <s v="ORD0719"/>
    <n v="45493"/>
    <s v="Customer 98"/>
    <x v="3"/>
    <x v="1"/>
    <x v="7"/>
    <n v="3"/>
    <n v="44"/>
    <n v="132"/>
    <n v="85.14"/>
    <n v="46.86"/>
    <x v="2"/>
  </r>
  <r>
    <s v="ORD0720"/>
    <n v="45400"/>
    <s v="Customer 34"/>
    <x v="1"/>
    <x v="3"/>
    <x v="10"/>
    <n v="4"/>
    <n v="75"/>
    <n v="300"/>
    <n v="189.42"/>
    <n v="110.58"/>
    <x v="2"/>
  </r>
  <r>
    <s v="ORD0721"/>
    <n v="45484"/>
    <s v="Customer 108"/>
    <x v="1"/>
    <x v="3"/>
    <x v="5"/>
    <n v="3"/>
    <n v="26"/>
    <n v="78"/>
    <n v="57.52"/>
    <n v="20.48"/>
    <x v="0"/>
  </r>
  <r>
    <s v="ORD0722"/>
    <n v="45621"/>
    <s v="Customer 88"/>
    <x v="2"/>
    <x v="2"/>
    <x v="4"/>
    <n v="4"/>
    <n v="58"/>
    <n v="232"/>
    <n v="116.21"/>
    <n v="115.79"/>
    <x v="1"/>
  </r>
  <r>
    <s v="ORD0723"/>
    <n v="45341"/>
    <s v="Customer 231"/>
    <x v="0"/>
    <x v="2"/>
    <x v="9"/>
    <n v="3"/>
    <n v="94"/>
    <n v="282"/>
    <n v="213.89"/>
    <n v="68.11"/>
    <x v="3"/>
  </r>
  <r>
    <s v="ORD0724"/>
    <n v="45580"/>
    <s v="Customer 269"/>
    <x v="0"/>
    <x v="1"/>
    <x v="6"/>
    <n v="4"/>
    <n v="28"/>
    <n v="112"/>
    <n v="84.8"/>
    <n v="27.2"/>
    <x v="2"/>
  </r>
  <r>
    <s v="ORD0725"/>
    <n v="45414"/>
    <s v="Customer 237"/>
    <x v="1"/>
    <x v="1"/>
    <x v="6"/>
    <n v="1"/>
    <n v="29"/>
    <n v="29"/>
    <n v="22.73"/>
    <n v="6.27"/>
    <x v="1"/>
  </r>
  <r>
    <s v="ORD0726"/>
    <n v="45524"/>
    <s v="Customer 178"/>
    <x v="0"/>
    <x v="3"/>
    <x v="10"/>
    <n v="5"/>
    <n v="63"/>
    <n v="315"/>
    <n v="174.33"/>
    <n v="140.66999999999999"/>
    <x v="0"/>
  </r>
  <r>
    <s v="ORD0727"/>
    <n v="45652"/>
    <s v="Customer 24"/>
    <x v="1"/>
    <x v="3"/>
    <x v="8"/>
    <n v="2"/>
    <n v="38"/>
    <n v="76"/>
    <n v="59.73"/>
    <n v="16.27"/>
    <x v="2"/>
  </r>
  <r>
    <s v="ORD0728"/>
    <n v="45334"/>
    <s v="Customer 67"/>
    <x v="1"/>
    <x v="3"/>
    <x v="5"/>
    <n v="1"/>
    <n v="14"/>
    <n v="14"/>
    <n v="8.9"/>
    <n v="5.0999999999999996"/>
    <x v="0"/>
  </r>
  <r>
    <s v="ORD0729"/>
    <n v="45478"/>
    <s v="Customer 109"/>
    <x v="0"/>
    <x v="3"/>
    <x v="8"/>
    <n v="4"/>
    <n v="44"/>
    <n v="176"/>
    <n v="96.7"/>
    <n v="79.3"/>
    <x v="3"/>
  </r>
  <r>
    <s v="ORD0730"/>
    <n v="45616"/>
    <s v="Customer 183"/>
    <x v="3"/>
    <x v="1"/>
    <x v="11"/>
    <n v="2"/>
    <n v="45"/>
    <n v="90"/>
    <n v="49.52"/>
    <n v="40.479999999999997"/>
    <x v="0"/>
  </r>
  <r>
    <s v="ORD0731"/>
    <n v="45518"/>
    <s v="Customer 53"/>
    <x v="1"/>
    <x v="3"/>
    <x v="5"/>
    <n v="3"/>
    <n v="73"/>
    <n v="219"/>
    <n v="124.96"/>
    <n v="94.04"/>
    <x v="1"/>
  </r>
  <r>
    <s v="ORD0732"/>
    <n v="45303"/>
    <s v="Customer 111"/>
    <x v="2"/>
    <x v="1"/>
    <x v="11"/>
    <n v="5"/>
    <n v="84"/>
    <n v="420"/>
    <n v="282.49"/>
    <n v="137.51"/>
    <x v="3"/>
  </r>
  <r>
    <s v="ORD0733"/>
    <n v="45369"/>
    <s v="Customer 18"/>
    <x v="2"/>
    <x v="2"/>
    <x v="12"/>
    <n v="2"/>
    <n v="55"/>
    <n v="110"/>
    <n v="68.010000000000005"/>
    <n v="41.99"/>
    <x v="1"/>
  </r>
  <r>
    <s v="ORD0734"/>
    <n v="45579"/>
    <s v="Customer 260"/>
    <x v="0"/>
    <x v="2"/>
    <x v="12"/>
    <n v="3"/>
    <n v="100"/>
    <n v="300"/>
    <n v="209.51"/>
    <n v="90.49"/>
    <x v="3"/>
  </r>
  <r>
    <s v="ORD0735"/>
    <n v="45502"/>
    <s v="Customer 236"/>
    <x v="0"/>
    <x v="1"/>
    <x v="7"/>
    <n v="3"/>
    <n v="45"/>
    <n v="135"/>
    <n v="72.709999999999994"/>
    <n v="62.29"/>
    <x v="1"/>
  </r>
  <r>
    <s v="ORD0736"/>
    <n v="45383"/>
    <s v="Customer 185"/>
    <x v="3"/>
    <x v="2"/>
    <x v="9"/>
    <n v="4"/>
    <n v="76"/>
    <n v="304"/>
    <n v="161.4"/>
    <n v="142.6"/>
    <x v="0"/>
  </r>
  <r>
    <s v="ORD0737"/>
    <n v="45465"/>
    <s v="Customer 84"/>
    <x v="1"/>
    <x v="0"/>
    <x v="0"/>
    <n v="1"/>
    <n v="77"/>
    <n v="77"/>
    <n v="49"/>
    <n v="28"/>
    <x v="0"/>
  </r>
  <r>
    <s v="ORD0738"/>
    <n v="45463"/>
    <s v="Customer 185"/>
    <x v="3"/>
    <x v="3"/>
    <x v="5"/>
    <n v="3"/>
    <n v="60"/>
    <n v="180"/>
    <n v="123.88"/>
    <n v="56.12"/>
    <x v="0"/>
  </r>
  <r>
    <s v="ORD0739"/>
    <n v="45411"/>
    <s v="Customer 21"/>
    <x v="1"/>
    <x v="2"/>
    <x v="9"/>
    <n v="1"/>
    <n v="95"/>
    <n v="95"/>
    <n v="48.88"/>
    <n v="46.12"/>
    <x v="3"/>
  </r>
  <r>
    <s v="ORD0740"/>
    <n v="45556"/>
    <s v="Customer 35"/>
    <x v="3"/>
    <x v="0"/>
    <x v="2"/>
    <n v="4"/>
    <n v="98"/>
    <n v="392"/>
    <n v="224.98"/>
    <n v="167.02"/>
    <x v="2"/>
  </r>
  <r>
    <s v="ORD0741"/>
    <n v="45341"/>
    <s v="Customer 119"/>
    <x v="2"/>
    <x v="2"/>
    <x v="12"/>
    <n v="3"/>
    <n v="26"/>
    <n v="78"/>
    <n v="52.68"/>
    <n v="25.32"/>
    <x v="1"/>
  </r>
  <r>
    <s v="ORD0742"/>
    <n v="45631"/>
    <s v="Customer 222"/>
    <x v="2"/>
    <x v="1"/>
    <x v="3"/>
    <n v="3"/>
    <n v="94"/>
    <n v="282"/>
    <n v="190.35"/>
    <n v="91.65"/>
    <x v="2"/>
  </r>
  <r>
    <s v="ORD0743"/>
    <n v="45396"/>
    <s v="Customer 290"/>
    <x v="1"/>
    <x v="0"/>
    <x v="0"/>
    <n v="4"/>
    <n v="95"/>
    <n v="380"/>
    <n v="249.21"/>
    <n v="130.79"/>
    <x v="0"/>
  </r>
  <r>
    <s v="ORD0744"/>
    <n v="45403"/>
    <s v="Customer 193"/>
    <x v="3"/>
    <x v="1"/>
    <x v="11"/>
    <n v="3"/>
    <n v="58"/>
    <n v="174"/>
    <n v="113.15"/>
    <n v="60.85"/>
    <x v="2"/>
  </r>
  <r>
    <s v="ORD0745"/>
    <n v="45346"/>
    <s v="Customer 273"/>
    <x v="0"/>
    <x v="0"/>
    <x v="0"/>
    <n v="2"/>
    <n v="24"/>
    <n v="48"/>
    <n v="26.79"/>
    <n v="21.21"/>
    <x v="1"/>
  </r>
  <r>
    <s v="ORD0746"/>
    <n v="45442"/>
    <s v="Customer 236"/>
    <x v="3"/>
    <x v="1"/>
    <x v="6"/>
    <n v="5"/>
    <n v="19"/>
    <n v="95"/>
    <n v="65.89"/>
    <n v="29.11"/>
    <x v="2"/>
  </r>
  <r>
    <s v="ORD0747"/>
    <n v="45456"/>
    <s v="Customer 91"/>
    <x v="1"/>
    <x v="1"/>
    <x v="6"/>
    <n v="3"/>
    <n v="91"/>
    <n v="273"/>
    <n v="180.35"/>
    <n v="92.65"/>
    <x v="2"/>
  </r>
  <r>
    <s v="ORD0748"/>
    <n v="45377"/>
    <s v="Customer 75"/>
    <x v="1"/>
    <x v="3"/>
    <x v="5"/>
    <n v="4"/>
    <n v="51"/>
    <n v="204"/>
    <n v="148.68"/>
    <n v="55.32"/>
    <x v="0"/>
  </r>
  <r>
    <s v="ORD0749"/>
    <n v="45607"/>
    <s v="Customer 38"/>
    <x v="2"/>
    <x v="0"/>
    <x v="0"/>
    <n v="4"/>
    <n v="13"/>
    <n v="52"/>
    <n v="41.58"/>
    <n v="10.42"/>
    <x v="1"/>
  </r>
  <r>
    <s v="ORD0750"/>
    <n v="45537"/>
    <s v="Customer 154"/>
    <x v="3"/>
    <x v="0"/>
    <x v="0"/>
    <n v="3"/>
    <n v="76"/>
    <n v="228"/>
    <n v="114.9"/>
    <n v="113.1"/>
    <x v="2"/>
  </r>
  <r>
    <s v="ORD0751"/>
    <n v="45386"/>
    <s v="Customer 96"/>
    <x v="2"/>
    <x v="2"/>
    <x v="9"/>
    <n v="5"/>
    <n v="54"/>
    <n v="270"/>
    <n v="171.09"/>
    <n v="98.91"/>
    <x v="1"/>
  </r>
  <r>
    <s v="ORD0752"/>
    <n v="45438"/>
    <s v="Customer 231"/>
    <x v="3"/>
    <x v="3"/>
    <x v="10"/>
    <n v="3"/>
    <n v="92"/>
    <n v="276"/>
    <n v="183.69"/>
    <n v="92.31"/>
    <x v="2"/>
  </r>
  <r>
    <s v="ORD0753"/>
    <n v="45609"/>
    <s v="Customer 268"/>
    <x v="3"/>
    <x v="2"/>
    <x v="12"/>
    <n v="2"/>
    <n v="15"/>
    <n v="30"/>
    <n v="22.82"/>
    <n v="7.18"/>
    <x v="3"/>
  </r>
  <r>
    <s v="ORD0754"/>
    <n v="45491"/>
    <s v="Customer 72"/>
    <x v="3"/>
    <x v="0"/>
    <x v="1"/>
    <n v="1"/>
    <n v="47"/>
    <n v="47"/>
    <n v="24.46"/>
    <n v="22.54"/>
    <x v="3"/>
  </r>
  <r>
    <s v="ORD0755"/>
    <n v="45350"/>
    <s v="Customer 257"/>
    <x v="3"/>
    <x v="3"/>
    <x v="10"/>
    <n v="2"/>
    <n v="17"/>
    <n v="34"/>
    <n v="20.92"/>
    <n v="13.08"/>
    <x v="2"/>
  </r>
  <r>
    <s v="ORD0756"/>
    <n v="45644"/>
    <s v="Customer 31"/>
    <x v="2"/>
    <x v="0"/>
    <x v="1"/>
    <n v="5"/>
    <n v="21"/>
    <n v="105"/>
    <n v="80.44"/>
    <n v="24.56"/>
    <x v="1"/>
  </r>
  <r>
    <s v="ORD0757"/>
    <n v="45462"/>
    <s v="Customer 273"/>
    <x v="0"/>
    <x v="1"/>
    <x v="6"/>
    <n v="1"/>
    <n v="56"/>
    <n v="56"/>
    <n v="32.700000000000003"/>
    <n v="23.3"/>
    <x v="0"/>
  </r>
  <r>
    <s v="ORD0758"/>
    <n v="45622"/>
    <s v="Customer 148"/>
    <x v="2"/>
    <x v="0"/>
    <x v="1"/>
    <n v="3"/>
    <n v="71"/>
    <n v="213"/>
    <n v="152.53"/>
    <n v="60.47"/>
    <x v="0"/>
  </r>
  <r>
    <s v="ORD0759"/>
    <n v="45471"/>
    <s v="Customer 173"/>
    <x v="2"/>
    <x v="3"/>
    <x v="8"/>
    <n v="2"/>
    <n v="15"/>
    <n v="30"/>
    <n v="18.100000000000001"/>
    <n v="11.9"/>
    <x v="2"/>
  </r>
  <r>
    <s v="ORD0760"/>
    <n v="45554"/>
    <s v="Customer 170"/>
    <x v="3"/>
    <x v="2"/>
    <x v="9"/>
    <n v="5"/>
    <n v="36"/>
    <n v="180"/>
    <n v="109.22"/>
    <n v="70.78"/>
    <x v="0"/>
  </r>
  <r>
    <s v="ORD0761"/>
    <n v="45351"/>
    <s v="Customer 271"/>
    <x v="1"/>
    <x v="0"/>
    <x v="0"/>
    <n v="4"/>
    <n v="62"/>
    <n v="248"/>
    <n v="139.59"/>
    <n v="108.41"/>
    <x v="3"/>
  </r>
  <r>
    <s v="ORD0762"/>
    <n v="45606"/>
    <s v="Customer 85"/>
    <x v="1"/>
    <x v="2"/>
    <x v="9"/>
    <n v="2"/>
    <n v="24"/>
    <n v="48"/>
    <n v="35.369999999999997"/>
    <n v="12.63"/>
    <x v="0"/>
  </r>
  <r>
    <s v="ORD0763"/>
    <n v="45337"/>
    <s v="Customer 202"/>
    <x v="0"/>
    <x v="0"/>
    <x v="2"/>
    <n v="5"/>
    <n v="81"/>
    <n v="405"/>
    <n v="252.37"/>
    <n v="152.63"/>
    <x v="3"/>
  </r>
  <r>
    <s v="ORD0764"/>
    <n v="45403"/>
    <s v="Customer 24"/>
    <x v="2"/>
    <x v="1"/>
    <x v="6"/>
    <n v="2"/>
    <n v="82"/>
    <n v="164"/>
    <n v="129.79"/>
    <n v="34.21"/>
    <x v="1"/>
  </r>
  <r>
    <s v="ORD0765"/>
    <n v="45642"/>
    <s v="Customer 219"/>
    <x v="1"/>
    <x v="0"/>
    <x v="2"/>
    <n v="1"/>
    <n v="33"/>
    <n v="33"/>
    <n v="18.510000000000002"/>
    <n v="14.49"/>
    <x v="1"/>
  </r>
  <r>
    <s v="ORD0766"/>
    <n v="45348"/>
    <s v="Customer 120"/>
    <x v="3"/>
    <x v="1"/>
    <x v="7"/>
    <n v="5"/>
    <n v="44"/>
    <n v="220"/>
    <n v="158.77000000000001"/>
    <n v="61.23"/>
    <x v="0"/>
  </r>
  <r>
    <s v="ORD0767"/>
    <n v="45465"/>
    <s v="Customer 25"/>
    <x v="2"/>
    <x v="1"/>
    <x v="3"/>
    <n v="2"/>
    <n v="74"/>
    <n v="148"/>
    <n v="77.09"/>
    <n v="70.91"/>
    <x v="3"/>
  </r>
  <r>
    <s v="ORD0768"/>
    <n v="45472"/>
    <s v="Customer 156"/>
    <x v="2"/>
    <x v="1"/>
    <x v="6"/>
    <n v="2"/>
    <n v="89"/>
    <n v="178"/>
    <n v="97"/>
    <n v="81"/>
    <x v="0"/>
  </r>
  <r>
    <s v="ORD0769"/>
    <n v="45580"/>
    <s v="Customer 247"/>
    <x v="3"/>
    <x v="0"/>
    <x v="0"/>
    <n v="1"/>
    <n v="47"/>
    <n v="47"/>
    <n v="25.39"/>
    <n v="21.61"/>
    <x v="1"/>
  </r>
  <r>
    <s v="ORD0770"/>
    <n v="45442"/>
    <s v="Customer 254"/>
    <x v="1"/>
    <x v="2"/>
    <x v="4"/>
    <n v="5"/>
    <n v="99"/>
    <n v="495"/>
    <n v="389.29"/>
    <n v="105.71"/>
    <x v="3"/>
  </r>
  <r>
    <s v="ORD0771"/>
    <n v="45571"/>
    <s v="Customer 72"/>
    <x v="3"/>
    <x v="2"/>
    <x v="9"/>
    <n v="5"/>
    <n v="48"/>
    <n v="240"/>
    <n v="128.41999999999999"/>
    <n v="111.58"/>
    <x v="3"/>
  </r>
  <r>
    <s v="ORD0772"/>
    <n v="45449"/>
    <s v="Customer 227"/>
    <x v="0"/>
    <x v="1"/>
    <x v="3"/>
    <n v="2"/>
    <n v="84"/>
    <n v="168"/>
    <n v="123.71"/>
    <n v="44.29"/>
    <x v="0"/>
  </r>
  <r>
    <s v="ORD0773"/>
    <n v="45302"/>
    <s v="Customer 288"/>
    <x v="1"/>
    <x v="1"/>
    <x v="7"/>
    <n v="3"/>
    <n v="72"/>
    <n v="216"/>
    <n v="132.15"/>
    <n v="83.85"/>
    <x v="3"/>
  </r>
  <r>
    <s v="ORD0774"/>
    <n v="45332"/>
    <s v="Customer 71"/>
    <x v="1"/>
    <x v="3"/>
    <x v="5"/>
    <n v="2"/>
    <n v="64"/>
    <n v="128"/>
    <n v="74.78"/>
    <n v="53.22"/>
    <x v="3"/>
  </r>
  <r>
    <s v="ORD0775"/>
    <n v="45337"/>
    <s v="Customer 188"/>
    <x v="3"/>
    <x v="3"/>
    <x v="10"/>
    <n v="2"/>
    <n v="54"/>
    <n v="108"/>
    <n v="60.09"/>
    <n v="47.91"/>
    <x v="1"/>
  </r>
  <r>
    <s v="ORD0776"/>
    <n v="45392"/>
    <s v="Customer 192"/>
    <x v="0"/>
    <x v="3"/>
    <x v="10"/>
    <n v="2"/>
    <n v="77"/>
    <n v="154"/>
    <n v="100.62"/>
    <n v="53.38"/>
    <x v="0"/>
  </r>
  <r>
    <s v="ORD0777"/>
    <n v="45607"/>
    <s v="Customer 248"/>
    <x v="0"/>
    <x v="2"/>
    <x v="12"/>
    <n v="1"/>
    <n v="65"/>
    <n v="65"/>
    <n v="49.16"/>
    <n v="15.84"/>
    <x v="2"/>
  </r>
  <r>
    <s v="ORD0778"/>
    <n v="45474"/>
    <s v="Customer 42"/>
    <x v="1"/>
    <x v="1"/>
    <x v="11"/>
    <n v="1"/>
    <n v="17"/>
    <n v="17"/>
    <n v="12.03"/>
    <n v="4.97"/>
    <x v="1"/>
  </r>
  <r>
    <s v="ORD0779"/>
    <n v="45509"/>
    <s v="Customer 132"/>
    <x v="1"/>
    <x v="0"/>
    <x v="2"/>
    <n v="1"/>
    <n v="79"/>
    <n v="79"/>
    <n v="61.26"/>
    <n v="17.739999999999998"/>
    <x v="0"/>
  </r>
  <r>
    <s v="ORD0780"/>
    <n v="45411"/>
    <s v="Customer 200"/>
    <x v="1"/>
    <x v="2"/>
    <x v="4"/>
    <n v="4"/>
    <n v="84"/>
    <n v="336"/>
    <n v="174.9"/>
    <n v="161.1"/>
    <x v="1"/>
  </r>
  <r>
    <s v="ORD0781"/>
    <n v="45558"/>
    <s v="Customer 172"/>
    <x v="3"/>
    <x v="2"/>
    <x v="12"/>
    <n v="2"/>
    <n v="82"/>
    <n v="164"/>
    <n v="102.24"/>
    <n v="61.76"/>
    <x v="2"/>
  </r>
  <r>
    <s v="ORD0782"/>
    <n v="45423"/>
    <s v="Customer 50"/>
    <x v="3"/>
    <x v="0"/>
    <x v="2"/>
    <n v="4"/>
    <n v="79"/>
    <n v="316"/>
    <n v="163.92"/>
    <n v="152.08000000000001"/>
    <x v="0"/>
  </r>
  <r>
    <s v="ORD0783"/>
    <n v="45388"/>
    <s v="Customer 55"/>
    <x v="2"/>
    <x v="1"/>
    <x v="6"/>
    <n v="4"/>
    <n v="18"/>
    <n v="72"/>
    <n v="37.700000000000003"/>
    <n v="34.299999999999997"/>
    <x v="3"/>
  </r>
  <r>
    <s v="ORD0784"/>
    <n v="45314"/>
    <s v="Customer 280"/>
    <x v="0"/>
    <x v="1"/>
    <x v="11"/>
    <n v="1"/>
    <n v="20"/>
    <n v="20"/>
    <n v="15.7"/>
    <n v="4.3"/>
    <x v="2"/>
  </r>
  <r>
    <s v="ORD0785"/>
    <n v="45333"/>
    <s v="Customer 231"/>
    <x v="0"/>
    <x v="1"/>
    <x v="6"/>
    <n v="2"/>
    <n v="81"/>
    <n v="162"/>
    <n v="99.61"/>
    <n v="62.39"/>
    <x v="2"/>
  </r>
  <r>
    <s v="ORD0786"/>
    <n v="45388"/>
    <s v="Customer 255"/>
    <x v="0"/>
    <x v="0"/>
    <x v="2"/>
    <n v="1"/>
    <n v="66"/>
    <n v="66"/>
    <n v="41.24"/>
    <n v="24.76"/>
    <x v="3"/>
  </r>
  <r>
    <s v="ORD0787"/>
    <n v="45454"/>
    <s v="Customer 37"/>
    <x v="0"/>
    <x v="2"/>
    <x v="12"/>
    <n v="2"/>
    <n v="31"/>
    <n v="62"/>
    <n v="32.46"/>
    <n v="29.54"/>
    <x v="3"/>
  </r>
  <r>
    <s v="ORD0788"/>
    <n v="45444"/>
    <s v="Customer 186"/>
    <x v="0"/>
    <x v="0"/>
    <x v="1"/>
    <n v="5"/>
    <n v="61"/>
    <n v="305"/>
    <n v="203.27"/>
    <n v="101.73"/>
    <x v="0"/>
  </r>
  <r>
    <s v="ORD0789"/>
    <n v="45304"/>
    <s v="Customer 114"/>
    <x v="0"/>
    <x v="1"/>
    <x v="7"/>
    <n v="1"/>
    <n v="11"/>
    <n v="11"/>
    <n v="5.86"/>
    <n v="5.14"/>
    <x v="2"/>
  </r>
  <r>
    <s v="ORD0790"/>
    <n v="45627"/>
    <s v="Customer 113"/>
    <x v="0"/>
    <x v="3"/>
    <x v="8"/>
    <n v="1"/>
    <n v="35"/>
    <n v="35"/>
    <n v="20.09"/>
    <n v="14.91"/>
    <x v="0"/>
  </r>
  <r>
    <s v="ORD0791"/>
    <n v="45539"/>
    <s v="Customer 70"/>
    <x v="1"/>
    <x v="3"/>
    <x v="8"/>
    <n v="5"/>
    <n v="72"/>
    <n v="360"/>
    <n v="265.86"/>
    <n v="94.14"/>
    <x v="0"/>
  </r>
  <r>
    <s v="ORD0792"/>
    <n v="45577"/>
    <s v="Customer 135"/>
    <x v="1"/>
    <x v="0"/>
    <x v="2"/>
    <n v="2"/>
    <n v="76"/>
    <n v="152"/>
    <n v="90.95"/>
    <n v="61.05"/>
    <x v="2"/>
  </r>
  <r>
    <s v="ORD0793"/>
    <n v="45439"/>
    <s v="Customer 199"/>
    <x v="0"/>
    <x v="3"/>
    <x v="8"/>
    <n v="3"/>
    <n v="42"/>
    <n v="126"/>
    <n v="63.5"/>
    <n v="62.5"/>
    <x v="2"/>
  </r>
  <r>
    <s v="ORD0794"/>
    <n v="45470"/>
    <s v="Customer 68"/>
    <x v="1"/>
    <x v="2"/>
    <x v="9"/>
    <n v="3"/>
    <n v="84"/>
    <n v="252"/>
    <n v="130.16999999999999"/>
    <n v="121.83"/>
    <x v="1"/>
  </r>
  <r>
    <s v="ORD0795"/>
    <n v="45366"/>
    <s v="Customer 48"/>
    <x v="3"/>
    <x v="2"/>
    <x v="4"/>
    <n v="5"/>
    <n v="75"/>
    <n v="375"/>
    <n v="256.95999999999998"/>
    <n v="118.04"/>
    <x v="2"/>
  </r>
  <r>
    <s v="ORD0796"/>
    <n v="45485"/>
    <s v="Customer 1"/>
    <x v="2"/>
    <x v="3"/>
    <x v="8"/>
    <n v="2"/>
    <n v="75"/>
    <n v="150"/>
    <n v="111.25"/>
    <n v="38.75"/>
    <x v="0"/>
  </r>
  <r>
    <s v="ORD0797"/>
    <n v="45402"/>
    <s v="Customer 100"/>
    <x v="0"/>
    <x v="2"/>
    <x v="4"/>
    <n v="4"/>
    <n v="38"/>
    <n v="152"/>
    <n v="91.09"/>
    <n v="60.91"/>
    <x v="0"/>
  </r>
  <r>
    <s v="ORD0798"/>
    <n v="45575"/>
    <s v="Customer 76"/>
    <x v="0"/>
    <x v="3"/>
    <x v="8"/>
    <n v="2"/>
    <n v="60"/>
    <n v="120"/>
    <n v="77.27"/>
    <n v="42.73"/>
    <x v="3"/>
  </r>
  <r>
    <s v="ORD0799"/>
    <n v="45438"/>
    <s v="Customer 260"/>
    <x v="1"/>
    <x v="1"/>
    <x v="7"/>
    <n v="3"/>
    <n v="29"/>
    <n v="87"/>
    <n v="45.14"/>
    <n v="41.86"/>
    <x v="3"/>
  </r>
  <r>
    <s v="ORD0800"/>
    <n v="45387"/>
    <s v="Customer 286"/>
    <x v="1"/>
    <x v="0"/>
    <x v="2"/>
    <n v="5"/>
    <n v="34"/>
    <n v="170"/>
    <n v="113.89"/>
    <n v="56.11"/>
    <x v="3"/>
  </r>
  <r>
    <s v="ORD0801"/>
    <n v="45589"/>
    <s v="Customer 280"/>
    <x v="1"/>
    <x v="3"/>
    <x v="8"/>
    <n v="1"/>
    <n v="74"/>
    <n v="74"/>
    <n v="53.31"/>
    <n v="20.69"/>
    <x v="2"/>
  </r>
  <r>
    <s v="ORD0802"/>
    <n v="45508"/>
    <s v="Customer 199"/>
    <x v="2"/>
    <x v="0"/>
    <x v="1"/>
    <n v="2"/>
    <n v="25"/>
    <n v="50"/>
    <n v="31.02"/>
    <n v="18.98"/>
    <x v="0"/>
  </r>
  <r>
    <s v="ORD0803"/>
    <n v="45549"/>
    <s v="Customer 247"/>
    <x v="0"/>
    <x v="3"/>
    <x v="5"/>
    <n v="4"/>
    <n v="78"/>
    <n v="312"/>
    <n v="231.16"/>
    <n v="80.84"/>
    <x v="2"/>
  </r>
  <r>
    <s v="ORD0804"/>
    <n v="45527"/>
    <s v="Customer 214"/>
    <x v="1"/>
    <x v="0"/>
    <x v="2"/>
    <n v="3"/>
    <n v="11"/>
    <n v="33"/>
    <n v="18.329999999999998"/>
    <n v="14.67"/>
    <x v="1"/>
  </r>
  <r>
    <s v="ORD0805"/>
    <n v="45618"/>
    <s v="Customer 88"/>
    <x v="1"/>
    <x v="1"/>
    <x v="6"/>
    <n v="5"/>
    <n v="42"/>
    <n v="210"/>
    <n v="165.97"/>
    <n v="44.03"/>
    <x v="1"/>
  </r>
  <r>
    <s v="ORD0806"/>
    <n v="45317"/>
    <s v="Customer 21"/>
    <x v="0"/>
    <x v="3"/>
    <x v="10"/>
    <n v="2"/>
    <n v="17"/>
    <n v="34"/>
    <n v="26.73"/>
    <n v="7.27"/>
    <x v="0"/>
  </r>
  <r>
    <s v="ORD0807"/>
    <n v="45651"/>
    <s v="Customer 140"/>
    <x v="2"/>
    <x v="0"/>
    <x v="0"/>
    <n v="2"/>
    <n v="21"/>
    <n v="42"/>
    <n v="24.83"/>
    <n v="17.170000000000002"/>
    <x v="3"/>
  </r>
  <r>
    <s v="ORD0808"/>
    <n v="45582"/>
    <s v="Customer 214"/>
    <x v="1"/>
    <x v="1"/>
    <x v="3"/>
    <n v="4"/>
    <n v="46"/>
    <n v="184"/>
    <n v="134.18"/>
    <n v="49.82"/>
    <x v="0"/>
  </r>
  <r>
    <s v="ORD0809"/>
    <n v="45357"/>
    <s v="Customer 232"/>
    <x v="1"/>
    <x v="0"/>
    <x v="0"/>
    <n v="1"/>
    <n v="73"/>
    <n v="73"/>
    <n v="36.880000000000003"/>
    <n v="36.119999999999997"/>
    <x v="0"/>
  </r>
  <r>
    <s v="ORD0810"/>
    <n v="45518"/>
    <s v="Customer 137"/>
    <x v="0"/>
    <x v="2"/>
    <x v="9"/>
    <n v="1"/>
    <n v="55"/>
    <n v="55"/>
    <n v="38.43"/>
    <n v="16.57"/>
    <x v="2"/>
  </r>
  <r>
    <s v="ORD0811"/>
    <n v="45642"/>
    <s v="Customer 192"/>
    <x v="1"/>
    <x v="2"/>
    <x v="9"/>
    <n v="4"/>
    <n v="48"/>
    <n v="192"/>
    <n v="137.59"/>
    <n v="54.41"/>
    <x v="2"/>
  </r>
  <r>
    <s v="ORD0812"/>
    <n v="45648"/>
    <s v="Customer 151"/>
    <x v="3"/>
    <x v="1"/>
    <x v="6"/>
    <n v="4"/>
    <n v="93"/>
    <n v="372"/>
    <n v="247.11"/>
    <n v="124.89"/>
    <x v="0"/>
  </r>
  <r>
    <s v="ORD0813"/>
    <n v="45573"/>
    <s v="Customer 56"/>
    <x v="3"/>
    <x v="1"/>
    <x v="3"/>
    <n v="3"/>
    <n v="30"/>
    <n v="90"/>
    <n v="66.86"/>
    <n v="23.14"/>
    <x v="3"/>
  </r>
  <r>
    <s v="ORD0814"/>
    <n v="45563"/>
    <s v="Customer 16"/>
    <x v="2"/>
    <x v="2"/>
    <x v="9"/>
    <n v="3"/>
    <n v="46"/>
    <n v="138"/>
    <n v="85.31"/>
    <n v="52.69"/>
    <x v="2"/>
  </r>
  <r>
    <s v="ORD0815"/>
    <n v="45655"/>
    <s v="Customer 101"/>
    <x v="2"/>
    <x v="1"/>
    <x v="6"/>
    <n v="1"/>
    <n v="24"/>
    <n v="24"/>
    <n v="12.4"/>
    <n v="11.6"/>
    <x v="0"/>
  </r>
  <r>
    <s v="ORD0816"/>
    <n v="45434"/>
    <s v="Customer 2"/>
    <x v="3"/>
    <x v="0"/>
    <x v="2"/>
    <n v="2"/>
    <n v="27"/>
    <n v="54"/>
    <n v="27.61"/>
    <n v="26.39"/>
    <x v="2"/>
  </r>
  <r>
    <s v="ORD0817"/>
    <n v="45571"/>
    <s v="Customer 86"/>
    <x v="3"/>
    <x v="3"/>
    <x v="8"/>
    <n v="5"/>
    <n v="33"/>
    <n v="165"/>
    <n v="116.66"/>
    <n v="48.34"/>
    <x v="2"/>
  </r>
  <r>
    <s v="ORD0818"/>
    <n v="45348"/>
    <s v="Customer 122"/>
    <x v="3"/>
    <x v="1"/>
    <x v="7"/>
    <n v="3"/>
    <n v="23"/>
    <n v="69"/>
    <n v="42.28"/>
    <n v="26.72"/>
    <x v="0"/>
  </r>
  <r>
    <s v="ORD0819"/>
    <n v="45377"/>
    <s v="Customer 138"/>
    <x v="3"/>
    <x v="1"/>
    <x v="7"/>
    <n v="2"/>
    <n v="43"/>
    <n v="86"/>
    <n v="67.11"/>
    <n v="18.89"/>
    <x v="2"/>
  </r>
  <r>
    <s v="ORD0820"/>
    <n v="45480"/>
    <s v="Customer 31"/>
    <x v="1"/>
    <x v="2"/>
    <x v="4"/>
    <n v="2"/>
    <n v="12"/>
    <n v="24"/>
    <n v="14.26"/>
    <n v="9.74"/>
    <x v="2"/>
  </r>
  <r>
    <s v="ORD0821"/>
    <n v="45511"/>
    <s v="Customer 31"/>
    <x v="1"/>
    <x v="1"/>
    <x v="6"/>
    <n v="3"/>
    <n v="21"/>
    <n v="63"/>
    <n v="42.97"/>
    <n v="20.03"/>
    <x v="0"/>
  </r>
  <r>
    <s v="ORD0822"/>
    <n v="45513"/>
    <s v="Customer 65"/>
    <x v="2"/>
    <x v="2"/>
    <x v="9"/>
    <n v="1"/>
    <n v="75"/>
    <n v="75"/>
    <n v="59.62"/>
    <n v="15.38"/>
    <x v="1"/>
  </r>
  <r>
    <s v="ORD0823"/>
    <n v="45364"/>
    <s v="Customer 37"/>
    <x v="0"/>
    <x v="0"/>
    <x v="0"/>
    <n v="1"/>
    <n v="36"/>
    <n v="36"/>
    <n v="22.64"/>
    <n v="13.36"/>
    <x v="0"/>
  </r>
  <r>
    <s v="ORD0824"/>
    <n v="45627"/>
    <s v="Customer 116"/>
    <x v="2"/>
    <x v="2"/>
    <x v="9"/>
    <n v="2"/>
    <n v="74"/>
    <n v="148"/>
    <n v="110.39"/>
    <n v="37.61"/>
    <x v="3"/>
  </r>
  <r>
    <s v="ORD0825"/>
    <n v="45460"/>
    <s v="Customer 147"/>
    <x v="1"/>
    <x v="3"/>
    <x v="8"/>
    <n v="5"/>
    <n v="33"/>
    <n v="165"/>
    <n v="86.3"/>
    <n v="78.7"/>
    <x v="2"/>
  </r>
  <r>
    <s v="ORD0826"/>
    <n v="45607"/>
    <s v="Customer 277"/>
    <x v="1"/>
    <x v="3"/>
    <x v="10"/>
    <n v="1"/>
    <n v="39"/>
    <n v="39"/>
    <n v="19.7"/>
    <n v="19.3"/>
    <x v="2"/>
  </r>
  <r>
    <s v="ORD0827"/>
    <n v="45633"/>
    <s v="Customer 292"/>
    <x v="1"/>
    <x v="1"/>
    <x v="7"/>
    <n v="3"/>
    <n v="93"/>
    <n v="279"/>
    <n v="194.86"/>
    <n v="84.14"/>
    <x v="2"/>
  </r>
  <r>
    <s v="ORD0828"/>
    <n v="45614"/>
    <s v="Customer 39"/>
    <x v="2"/>
    <x v="1"/>
    <x v="11"/>
    <n v="2"/>
    <n v="91"/>
    <n v="182"/>
    <n v="128.46"/>
    <n v="53.54"/>
    <x v="1"/>
  </r>
  <r>
    <s v="ORD0829"/>
    <n v="45375"/>
    <s v="Customer 99"/>
    <x v="3"/>
    <x v="1"/>
    <x v="3"/>
    <n v="2"/>
    <n v="40"/>
    <n v="80"/>
    <n v="55"/>
    <n v="25"/>
    <x v="0"/>
  </r>
  <r>
    <s v="ORD0830"/>
    <n v="45360"/>
    <s v="Customer 110"/>
    <x v="0"/>
    <x v="1"/>
    <x v="3"/>
    <n v="5"/>
    <n v="86"/>
    <n v="430"/>
    <n v="240.67"/>
    <n v="189.33"/>
    <x v="0"/>
  </r>
  <r>
    <s v="ORD0831"/>
    <n v="45426"/>
    <s v="Customer 39"/>
    <x v="1"/>
    <x v="0"/>
    <x v="1"/>
    <n v="3"/>
    <n v="42"/>
    <n v="126"/>
    <n v="91.36"/>
    <n v="34.64"/>
    <x v="0"/>
  </r>
  <r>
    <s v="ORD0832"/>
    <n v="45526"/>
    <s v="Customer 190"/>
    <x v="2"/>
    <x v="3"/>
    <x v="5"/>
    <n v="1"/>
    <n v="61"/>
    <n v="61"/>
    <n v="38.68"/>
    <n v="22.32"/>
    <x v="1"/>
  </r>
  <r>
    <s v="ORD0833"/>
    <n v="45549"/>
    <s v="Customer 182"/>
    <x v="2"/>
    <x v="0"/>
    <x v="0"/>
    <n v="5"/>
    <n v="15"/>
    <n v="75"/>
    <n v="57.4"/>
    <n v="17.600000000000001"/>
    <x v="2"/>
  </r>
  <r>
    <s v="ORD0834"/>
    <n v="45613"/>
    <s v="Customer 196"/>
    <x v="1"/>
    <x v="3"/>
    <x v="5"/>
    <n v="1"/>
    <n v="56"/>
    <n v="56"/>
    <n v="35.340000000000003"/>
    <n v="20.66"/>
    <x v="0"/>
  </r>
  <r>
    <s v="ORD0835"/>
    <n v="45440"/>
    <s v="Customer 64"/>
    <x v="0"/>
    <x v="1"/>
    <x v="11"/>
    <n v="5"/>
    <n v="87"/>
    <n v="435"/>
    <n v="261.60000000000002"/>
    <n v="173.4"/>
    <x v="1"/>
  </r>
  <r>
    <s v="ORD0836"/>
    <n v="45328"/>
    <s v="Customer 123"/>
    <x v="2"/>
    <x v="3"/>
    <x v="5"/>
    <n v="5"/>
    <n v="14"/>
    <n v="70"/>
    <n v="49.85"/>
    <n v="20.149999999999999"/>
    <x v="0"/>
  </r>
  <r>
    <s v="ORD0837"/>
    <n v="45508"/>
    <s v="Customer 207"/>
    <x v="2"/>
    <x v="2"/>
    <x v="12"/>
    <n v="1"/>
    <n v="78"/>
    <n v="78"/>
    <n v="53.55"/>
    <n v="24.45"/>
    <x v="1"/>
  </r>
  <r>
    <s v="ORD0838"/>
    <n v="45612"/>
    <s v="Customer 120"/>
    <x v="1"/>
    <x v="0"/>
    <x v="0"/>
    <n v="4"/>
    <n v="35"/>
    <n v="140"/>
    <n v="75.38"/>
    <n v="64.62"/>
    <x v="3"/>
  </r>
  <r>
    <s v="ORD0839"/>
    <n v="45334"/>
    <s v="Customer 36"/>
    <x v="2"/>
    <x v="3"/>
    <x v="10"/>
    <n v="2"/>
    <n v="99"/>
    <n v="198"/>
    <n v="128.19"/>
    <n v="69.81"/>
    <x v="2"/>
  </r>
  <r>
    <s v="ORD0840"/>
    <n v="45615"/>
    <s v="Customer 12"/>
    <x v="0"/>
    <x v="0"/>
    <x v="0"/>
    <n v="2"/>
    <n v="29"/>
    <n v="58"/>
    <n v="43.27"/>
    <n v="14.73"/>
    <x v="3"/>
  </r>
  <r>
    <s v="ORD0841"/>
    <n v="45317"/>
    <s v="Customer 102"/>
    <x v="0"/>
    <x v="0"/>
    <x v="1"/>
    <n v="2"/>
    <n v="57"/>
    <n v="114"/>
    <n v="76.73"/>
    <n v="37.270000000000003"/>
    <x v="0"/>
  </r>
  <r>
    <s v="ORD0842"/>
    <n v="45454"/>
    <s v="Customer 266"/>
    <x v="1"/>
    <x v="3"/>
    <x v="10"/>
    <n v="5"/>
    <n v="69"/>
    <n v="345"/>
    <n v="214.79"/>
    <n v="130.21"/>
    <x v="3"/>
  </r>
  <r>
    <s v="ORD0843"/>
    <n v="45511"/>
    <s v="Customer 282"/>
    <x v="1"/>
    <x v="3"/>
    <x v="5"/>
    <n v="2"/>
    <n v="97"/>
    <n v="194"/>
    <n v="139.06"/>
    <n v="54.94"/>
    <x v="1"/>
  </r>
  <r>
    <s v="ORD0844"/>
    <n v="45459"/>
    <s v="Customer 15"/>
    <x v="3"/>
    <x v="1"/>
    <x v="6"/>
    <n v="1"/>
    <n v="71"/>
    <n v="71"/>
    <n v="53.11"/>
    <n v="17.89"/>
    <x v="3"/>
  </r>
  <r>
    <s v="ORD0845"/>
    <n v="45315"/>
    <s v="Customer 15"/>
    <x v="2"/>
    <x v="0"/>
    <x v="0"/>
    <n v="5"/>
    <n v="14"/>
    <n v="70"/>
    <n v="47.7"/>
    <n v="22.3"/>
    <x v="3"/>
  </r>
  <r>
    <s v="ORD0846"/>
    <n v="45338"/>
    <s v="Customer 222"/>
    <x v="0"/>
    <x v="2"/>
    <x v="4"/>
    <n v="4"/>
    <n v="93"/>
    <n v="372"/>
    <n v="188.39"/>
    <n v="183.61"/>
    <x v="3"/>
  </r>
  <r>
    <s v="ORD0847"/>
    <n v="45316"/>
    <s v="Customer 33"/>
    <x v="1"/>
    <x v="3"/>
    <x v="5"/>
    <n v="3"/>
    <n v="42"/>
    <n v="126"/>
    <n v="68.61"/>
    <n v="57.39"/>
    <x v="1"/>
  </r>
  <r>
    <s v="ORD0848"/>
    <n v="45628"/>
    <s v="Customer 96"/>
    <x v="0"/>
    <x v="1"/>
    <x v="6"/>
    <n v="5"/>
    <n v="65"/>
    <n v="325"/>
    <n v="245.27"/>
    <n v="79.73"/>
    <x v="2"/>
  </r>
  <r>
    <s v="ORD0849"/>
    <n v="45551"/>
    <s v="Customer 208"/>
    <x v="0"/>
    <x v="0"/>
    <x v="0"/>
    <n v="3"/>
    <n v="50"/>
    <n v="150"/>
    <n v="103.56"/>
    <n v="46.44"/>
    <x v="3"/>
  </r>
  <r>
    <s v="ORD0850"/>
    <n v="45403"/>
    <s v="Customer 165"/>
    <x v="1"/>
    <x v="2"/>
    <x v="12"/>
    <n v="1"/>
    <n v="81"/>
    <n v="81"/>
    <n v="46.81"/>
    <n v="34.19"/>
    <x v="0"/>
  </r>
  <r>
    <s v="ORD0851"/>
    <n v="45537"/>
    <s v="Customer 31"/>
    <x v="2"/>
    <x v="0"/>
    <x v="0"/>
    <n v="5"/>
    <n v="73"/>
    <n v="365"/>
    <n v="265.33999999999997"/>
    <n v="99.66"/>
    <x v="1"/>
  </r>
  <r>
    <s v="ORD0852"/>
    <n v="45515"/>
    <s v="Customer 204"/>
    <x v="0"/>
    <x v="1"/>
    <x v="7"/>
    <n v="3"/>
    <n v="12"/>
    <n v="36"/>
    <n v="28.17"/>
    <n v="7.83"/>
    <x v="1"/>
  </r>
  <r>
    <s v="ORD0853"/>
    <n v="45351"/>
    <s v="Customer 43"/>
    <x v="0"/>
    <x v="2"/>
    <x v="9"/>
    <n v="4"/>
    <n v="64"/>
    <n v="256"/>
    <n v="164.03"/>
    <n v="91.97"/>
    <x v="0"/>
  </r>
  <r>
    <s v="ORD0854"/>
    <n v="45460"/>
    <s v="Customer 177"/>
    <x v="1"/>
    <x v="2"/>
    <x v="9"/>
    <n v="3"/>
    <n v="38"/>
    <n v="114"/>
    <n v="68.319999999999993"/>
    <n v="45.68"/>
    <x v="2"/>
  </r>
  <r>
    <s v="ORD0855"/>
    <n v="45339"/>
    <s v="Customer 154"/>
    <x v="3"/>
    <x v="3"/>
    <x v="5"/>
    <n v="1"/>
    <n v="86"/>
    <n v="86"/>
    <n v="54.03"/>
    <n v="31.97"/>
    <x v="0"/>
  </r>
  <r>
    <s v="ORD0856"/>
    <n v="45474"/>
    <s v="Customer 130"/>
    <x v="2"/>
    <x v="3"/>
    <x v="5"/>
    <n v="5"/>
    <n v="53"/>
    <n v="265"/>
    <n v="147.38"/>
    <n v="117.62"/>
    <x v="3"/>
  </r>
  <r>
    <s v="ORD0857"/>
    <n v="45654"/>
    <s v="Customer 280"/>
    <x v="3"/>
    <x v="1"/>
    <x v="6"/>
    <n v="5"/>
    <n v="82"/>
    <n v="410"/>
    <n v="316.58999999999997"/>
    <n v="93.41"/>
    <x v="1"/>
  </r>
  <r>
    <s v="ORD0858"/>
    <n v="45374"/>
    <s v="Customer 206"/>
    <x v="1"/>
    <x v="3"/>
    <x v="5"/>
    <n v="2"/>
    <n v="92"/>
    <n v="184"/>
    <n v="114.08"/>
    <n v="69.92"/>
    <x v="0"/>
  </r>
  <r>
    <s v="ORD0859"/>
    <n v="45303"/>
    <s v="Customer 246"/>
    <x v="1"/>
    <x v="1"/>
    <x v="3"/>
    <n v="1"/>
    <n v="65"/>
    <n v="65"/>
    <n v="43.9"/>
    <n v="21.1"/>
    <x v="2"/>
  </r>
  <r>
    <s v="ORD0860"/>
    <n v="45442"/>
    <s v="Customer 265"/>
    <x v="2"/>
    <x v="2"/>
    <x v="4"/>
    <n v="2"/>
    <n v="75"/>
    <n v="150"/>
    <n v="75.31"/>
    <n v="74.69"/>
    <x v="2"/>
  </r>
  <r>
    <s v="ORD0861"/>
    <n v="45351"/>
    <s v="Customer 59"/>
    <x v="2"/>
    <x v="1"/>
    <x v="7"/>
    <n v="4"/>
    <n v="82"/>
    <n v="328"/>
    <n v="188.38"/>
    <n v="139.62"/>
    <x v="2"/>
  </r>
  <r>
    <s v="ORD0862"/>
    <n v="45306"/>
    <s v="Customer 120"/>
    <x v="2"/>
    <x v="1"/>
    <x v="6"/>
    <n v="4"/>
    <n v="65"/>
    <n v="260"/>
    <n v="167.88"/>
    <n v="92.12"/>
    <x v="3"/>
  </r>
  <r>
    <s v="ORD0863"/>
    <n v="45344"/>
    <s v="Customer 281"/>
    <x v="2"/>
    <x v="3"/>
    <x v="10"/>
    <n v="3"/>
    <n v="49"/>
    <n v="147"/>
    <n v="73.510000000000005"/>
    <n v="73.489999999999995"/>
    <x v="0"/>
  </r>
  <r>
    <s v="ORD0864"/>
    <n v="45423"/>
    <s v="Customer 264"/>
    <x v="1"/>
    <x v="1"/>
    <x v="6"/>
    <n v="2"/>
    <n v="67"/>
    <n v="134"/>
    <n v="75.36"/>
    <n v="58.64"/>
    <x v="0"/>
  </r>
  <r>
    <s v="ORD0865"/>
    <n v="45605"/>
    <s v="Customer 71"/>
    <x v="3"/>
    <x v="1"/>
    <x v="3"/>
    <n v="3"/>
    <n v="73"/>
    <n v="219"/>
    <n v="117.76"/>
    <n v="101.24"/>
    <x v="3"/>
  </r>
  <r>
    <s v="ORD0866"/>
    <n v="45405"/>
    <s v="Customer 165"/>
    <x v="3"/>
    <x v="3"/>
    <x v="10"/>
    <n v="3"/>
    <n v="62"/>
    <n v="186"/>
    <n v="114.17"/>
    <n v="71.83"/>
    <x v="2"/>
  </r>
  <r>
    <s v="ORD0867"/>
    <n v="45578"/>
    <s v="Customer 159"/>
    <x v="2"/>
    <x v="1"/>
    <x v="7"/>
    <n v="5"/>
    <n v="79"/>
    <n v="395"/>
    <n v="282.36"/>
    <n v="112.64"/>
    <x v="0"/>
  </r>
  <r>
    <s v="ORD0868"/>
    <n v="45376"/>
    <s v="Customer 168"/>
    <x v="0"/>
    <x v="2"/>
    <x v="9"/>
    <n v="2"/>
    <n v="53"/>
    <n v="106"/>
    <n v="77.28"/>
    <n v="28.72"/>
    <x v="0"/>
  </r>
  <r>
    <s v="ORD0869"/>
    <n v="45358"/>
    <s v="Customer 236"/>
    <x v="3"/>
    <x v="2"/>
    <x v="12"/>
    <n v="4"/>
    <n v="53"/>
    <n v="212"/>
    <n v="166.84"/>
    <n v="45.16"/>
    <x v="1"/>
  </r>
  <r>
    <s v="ORD0870"/>
    <n v="45432"/>
    <s v="Customer 144"/>
    <x v="3"/>
    <x v="1"/>
    <x v="11"/>
    <n v="4"/>
    <n v="30"/>
    <n v="120"/>
    <n v="81.77"/>
    <n v="38.229999999999997"/>
    <x v="1"/>
  </r>
  <r>
    <s v="ORD0871"/>
    <n v="45490"/>
    <s v="Customer 248"/>
    <x v="0"/>
    <x v="0"/>
    <x v="2"/>
    <n v="4"/>
    <n v="81"/>
    <n v="324"/>
    <n v="193.73"/>
    <n v="130.27000000000001"/>
    <x v="3"/>
  </r>
  <r>
    <s v="ORD0872"/>
    <n v="45438"/>
    <s v="Customer 198"/>
    <x v="1"/>
    <x v="2"/>
    <x v="4"/>
    <n v="2"/>
    <n v="89"/>
    <n v="178"/>
    <n v="134.41999999999999"/>
    <n v="43.58"/>
    <x v="1"/>
  </r>
  <r>
    <s v="ORD0873"/>
    <n v="45473"/>
    <s v="Customer 42"/>
    <x v="0"/>
    <x v="2"/>
    <x v="4"/>
    <n v="4"/>
    <n v="21"/>
    <n v="84"/>
    <n v="51.4"/>
    <n v="32.6"/>
    <x v="3"/>
  </r>
  <r>
    <s v="ORD0874"/>
    <n v="45375"/>
    <s v="Customer 2"/>
    <x v="3"/>
    <x v="1"/>
    <x v="3"/>
    <n v="1"/>
    <n v="46"/>
    <n v="46"/>
    <n v="24.58"/>
    <n v="21.42"/>
    <x v="0"/>
  </r>
  <r>
    <s v="ORD0875"/>
    <n v="45554"/>
    <s v="Customer 114"/>
    <x v="1"/>
    <x v="0"/>
    <x v="2"/>
    <n v="5"/>
    <n v="18"/>
    <n v="90"/>
    <n v="62.12"/>
    <n v="27.88"/>
    <x v="0"/>
  </r>
  <r>
    <s v="ORD0876"/>
    <n v="45405"/>
    <s v="Customer 242"/>
    <x v="1"/>
    <x v="0"/>
    <x v="2"/>
    <n v="1"/>
    <n v="91"/>
    <n v="91"/>
    <n v="53.6"/>
    <n v="37.4"/>
    <x v="3"/>
  </r>
  <r>
    <s v="ORD0877"/>
    <n v="45433"/>
    <s v="Customer 213"/>
    <x v="3"/>
    <x v="1"/>
    <x v="6"/>
    <n v="4"/>
    <n v="93"/>
    <n v="372"/>
    <n v="228.66"/>
    <n v="143.34"/>
    <x v="1"/>
  </r>
  <r>
    <s v="ORD0878"/>
    <n v="45478"/>
    <s v="Customer 152"/>
    <x v="2"/>
    <x v="2"/>
    <x v="12"/>
    <n v="1"/>
    <n v="11"/>
    <n v="11"/>
    <n v="6.5"/>
    <n v="4.5"/>
    <x v="3"/>
  </r>
  <r>
    <s v="ORD0879"/>
    <n v="45321"/>
    <s v="Customer 293"/>
    <x v="0"/>
    <x v="1"/>
    <x v="11"/>
    <n v="3"/>
    <n v="42"/>
    <n v="126"/>
    <n v="68.900000000000006"/>
    <n v="57.1"/>
    <x v="2"/>
  </r>
  <r>
    <s v="ORD0880"/>
    <n v="45558"/>
    <s v="Customer 108"/>
    <x v="0"/>
    <x v="3"/>
    <x v="5"/>
    <n v="2"/>
    <n v="92"/>
    <n v="184"/>
    <n v="94.99"/>
    <n v="89.01"/>
    <x v="1"/>
  </r>
  <r>
    <s v="ORD0881"/>
    <n v="45349"/>
    <s v="Customer 87"/>
    <x v="0"/>
    <x v="2"/>
    <x v="9"/>
    <n v="4"/>
    <n v="82"/>
    <n v="328"/>
    <n v="227.58"/>
    <n v="100.42"/>
    <x v="2"/>
  </r>
  <r>
    <s v="ORD0882"/>
    <n v="45519"/>
    <s v="Customer 230"/>
    <x v="0"/>
    <x v="1"/>
    <x v="6"/>
    <n v="1"/>
    <n v="14"/>
    <n v="14"/>
    <n v="9.31"/>
    <n v="4.6900000000000004"/>
    <x v="0"/>
  </r>
  <r>
    <s v="ORD0883"/>
    <n v="45601"/>
    <s v="Customer 88"/>
    <x v="2"/>
    <x v="3"/>
    <x v="5"/>
    <n v="5"/>
    <n v="23"/>
    <n v="115"/>
    <n v="85.14"/>
    <n v="29.86"/>
    <x v="2"/>
  </r>
  <r>
    <s v="ORD0884"/>
    <n v="45595"/>
    <s v="Customer 1"/>
    <x v="0"/>
    <x v="0"/>
    <x v="2"/>
    <n v="3"/>
    <n v="43"/>
    <n v="129"/>
    <n v="102.98"/>
    <n v="26.02"/>
    <x v="3"/>
  </r>
  <r>
    <s v="ORD0885"/>
    <n v="45451"/>
    <s v="Customer 57"/>
    <x v="3"/>
    <x v="1"/>
    <x v="7"/>
    <n v="2"/>
    <n v="32"/>
    <n v="64"/>
    <n v="34.9"/>
    <n v="29.1"/>
    <x v="2"/>
  </r>
  <r>
    <s v="ORD0886"/>
    <n v="45375"/>
    <s v="Customer 57"/>
    <x v="3"/>
    <x v="3"/>
    <x v="10"/>
    <n v="2"/>
    <n v="33"/>
    <n v="66"/>
    <n v="39.549999999999997"/>
    <n v="26.45"/>
    <x v="2"/>
  </r>
  <r>
    <s v="ORD0887"/>
    <n v="45312"/>
    <s v="Customer 37"/>
    <x v="2"/>
    <x v="0"/>
    <x v="2"/>
    <n v="5"/>
    <n v="45"/>
    <n v="225"/>
    <n v="157.94"/>
    <n v="67.06"/>
    <x v="2"/>
  </r>
  <r>
    <s v="ORD0888"/>
    <n v="45528"/>
    <s v="Customer 16"/>
    <x v="2"/>
    <x v="3"/>
    <x v="10"/>
    <n v="5"/>
    <n v="15"/>
    <n v="75"/>
    <n v="53.09"/>
    <n v="21.91"/>
    <x v="2"/>
  </r>
  <r>
    <s v="ORD0889"/>
    <n v="45336"/>
    <s v="Customer 115"/>
    <x v="1"/>
    <x v="1"/>
    <x v="7"/>
    <n v="4"/>
    <n v="77"/>
    <n v="308"/>
    <n v="161.9"/>
    <n v="146.1"/>
    <x v="1"/>
  </r>
  <r>
    <s v="ORD0890"/>
    <n v="45368"/>
    <s v="Customer 184"/>
    <x v="1"/>
    <x v="2"/>
    <x v="12"/>
    <n v="1"/>
    <n v="50"/>
    <n v="50"/>
    <n v="32.94"/>
    <n v="17.059999999999999"/>
    <x v="0"/>
  </r>
  <r>
    <s v="ORD0891"/>
    <n v="45476"/>
    <s v="Customer 284"/>
    <x v="0"/>
    <x v="0"/>
    <x v="2"/>
    <n v="1"/>
    <n v="42"/>
    <n v="42"/>
    <n v="32.5"/>
    <n v="9.5"/>
    <x v="1"/>
  </r>
  <r>
    <s v="ORD0892"/>
    <n v="45363"/>
    <s v="Customer 210"/>
    <x v="1"/>
    <x v="1"/>
    <x v="6"/>
    <n v="2"/>
    <n v="72"/>
    <n v="144"/>
    <n v="80.56"/>
    <n v="63.44"/>
    <x v="3"/>
  </r>
  <r>
    <s v="ORD0893"/>
    <n v="45525"/>
    <s v="Customer 238"/>
    <x v="3"/>
    <x v="2"/>
    <x v="9"/>
    <n v="4"/>
    <n v="78"/>
    <n v="312"/>
    <n v="206.87"/>
    <n v="105.13"/>
    <x v="2"/>
  </r>
  <r>
    <s v="ORD0894"/>
    <n v="45415"/>
    <s v="Customer 140"/>
    <x v="1"/>
    <x v="3"/>
    <x v="8"/>
    <n v="4"/>
    <n v="62"/>
    <n v="248"/>
    <n v="148.88"/>
    <n v="99.12"/>
    <x v="1"/>
  </r>
  <r>
    <s v="ORD0895"/>
    <n v="45308"/>
    <s v="Customer 300"/>
    <x v="2"/>
    <x v="3"/>
    <x v="10"/>
    <n v="2"/>
    <n v="14"/>
    <n v="28"/>
    <n v="16.690000000000001"/>
    <n v="11.31"/>
    <x v="0"/>
  </r>
  <r>
    <s v="ORD0896"/>
    <n v="45618"/>
    <s v="Customer 14"/>
    <x v="1"/>
    <x v="0"/>
    <x v="0"/>
    <n v="4"/>
    <n v="70"/>
    <n v="280"/>
    <n v="210.08"/>
    <n v="69.92"/>
    <x v="2"/>
  </r>
  <r>
    <s v="ORD0897"/>
    <n v="45626"/>
    <s v="Customer 214"/>
    <x v="2"/>
    <x v="0"/>
    <x v="2"/>
    <n v="2"/>
    <n v="61"/>
    <n v="122"/>
    <n v="76.45"/>
    <n v="45.55"/>
    <x v="2"/>
  </r>
  <r>
    <s v="ORD0898"/>
    <n v="45350"/>
    <s v="Customer 252"/>
    <x v="3"/>
    <x v="1"/>
    <x v="3"/>
    <n v="4"/>
    <n v="60"/>
    <n v="240"/>
    <n v="130.1"/>
    <n v="109.9"/>
    <x v="3"/>
  </r>
  <r>
    <s v="ORD0899"/>
    <n v="45443"/>
    <s v="Customer 199"/>
    <x v="2"/>
    <x v="3"/>
    <x v="10"/>
    <n v="1"/>
    <n v="43"/>
    <n v="43"/>
    <n v="29.51"/>
    <n v="13.49"/>
    <x v="2"/>
  </r>
  <r>
    <s v="ORD0900"/>
    <n v="45428"/>
    <s v="Customer 191"/>
    <x v="2"/>
    <x v="3"/>
    <x v="5"/>
    <n v="1"/>
    <n v="80"/>
    <n v="80"/>
    <n v="43.63"/>
    <n v="36.369999999999997"/>
    <x v="1"/>
  </r>
  <r>
    <s v="ORD0901"/>
    <n v="45391"/>
    <s v="Customer 168"/>
    <x v="3"/>
    <x v="2"/>
    <x v="9"/>
    <n v="1"/>
    <n v="36"/>
    <n v="36"/>
    <n v="24.64"/>
    <n v="11.36"/>
    <x v="0"/>
  </r>
  <r>
    <s v="ORD0902"/>
    <n v="45444"/>
    <s v="Customer 264"/>
    <x v="2"/>
    <x v="3"/>
    <x v="10"/>
    <n v="3"/>
    <n v="96"/>
    <n v="288"/>
    <n v="193.29"/>
    <n v="94.71"/>
    <x v="0"/>
  </r>
  <r>
    <s v="ORD0903"/>
    <n v="45609"/>
    <s v="Customer 21"/>
    <x v="3"/>
    <x v="0"/>
    <x v="1"/>
    <n v="1"/>
    <n v="93"/>
    <n v="93"/>
    <n v="46.92"/>
    <n v="46.08"/>
    <x v="1"/>
  </r>
  <r>
    <s v="ORD0904"/>
    <n v="45632"/>
    <s v="Customer 228"/>
    <x v="3"/>
    <x v="1"/>
    <x v="6"/>
    <n v="3"/>
    <n v="22"/>
    <n v="66"/>
    <n v="37.840000000000003"/>
    <n v="28.16"/>
    <x v="0"/>
  </r>
  <r>
    <s v="ORD0905"/>
    <n v="45346"/>
    <s v="Customer 299"/>
    <x v="0"/>
    <x v="2"/>
    <x v="4"/>
    <n v="1"/>
    <n v="96"/>
    <n v="96"/>
    <n v="48.63"/>
    <n v="47.37"/>
    <x v="1"/>
  </r>
  <r>
    <s v="ORD0906"/>
    <n v="45412"/>
    <s v="Customer 279"/>
    <x v="1"/>
    <x v="3"/>
    <x v="5"/>
    <n v="3"/>
    <n v="27"/>
    <n v="81"/>
    <n v="48.29"/>
    <n v="32.71"/>
    <x v="1"/>
  </r>
  <r>
    <s v="ORD0907"/>
    <n v="45317"/>
    <s v="Customer 165"/>
    <x v="3"/>
    <x v="2"/>
    <x v="4"/>
    <n v="4"/>
    <n v="80"/>
    <n v="320"/>
    <n v="228.5"/>
    <n v="91.5"/>
    <x v="3"/>
  </r>
  <r>
    <s v="ORD0908"/>
    <n v="45364"/>
    <s v="Customer 242"/>
    <x v="0"/>
    <x v="1"/>
    <x v="3"/>
    <n v="3"/>
    <n v="78"/>
    <n v="234"/>
    <n v="121.1"/>
    <n v="112.9"/>
    <x v="0"/>
  </r>
  <r>
    <s v="ORD0909"/>
    <n v="45588"/>
    <s v="Customer 84"/>
    <x v="2"/>
    <x v="2"/>
    <x v="4"/>
    <n v="5"/>
    <n v="33"/>
    <n v="165"/>
    <n v="115.52"/>
    <n v="49.48"/>
    <x v="0"/>
  </r>
  <r>
    <s v="ORD0910"/>
    <n v="45609"/>
    <s v="Customer 266"/>
    <x v="2"/>
    <x v="0"/>
    <x v="1"/>
    <n v="2"/>
    <n v="17"/>
    <n v="34"/>
    <n v="22.45"/>
    <n v="11.55"/>
    <x v="1"/>
  </r>
  <r>
    <s v="ORD0911"/>
    <n v="45558"/>
    <s v="Customer 278"/>
    <x v="2"/>
    <x v="1"/>
    <x v="7"/>
    <n v="1"/>
    <n v="49"/>
    <n v="49"/>
    <n v="37.630000000000003"/>
    <n v="11.37"/>
    <x v="3"/>
  </r>
  <r>
    <s v="ORD0912"/>
    <n v="45331"/>
    <s v="Customer 163"/>
    <x v="2"/>
    <x v="2"/>
    <x v="9"/>
    <n v="1"/>
    <n v="53"/>
    <n v="53"/>
    <n v="40.76"/>
    <n v="12.24"/>
    <x v="1"/>
  </r>
  <r>
    <s v="ORD0913"/>
    <n v="45401"/>
    <s v="Customer 12"/>
    <x v="3"/>
    <x v="0"/>
    <x v="1"/>
    <n v="5"/>
    <n v="72"/>
    <n v="360"/>
    <n v="276.39"/>
    <n v="83.61"/>
    <x v="0"/>
  </r>
  <r>
    <s v="ORD0914"/>
    <n v="45360"/>
    <s v="Customer 129"/>
    <x v="3"/>
    <x v="2"/>
    <x v="12"/>
    <n v="3"/>
    <n v="39"/>
    <n v="117"/>
    <n v="79.08"/>
    <n v="37.92"/>
    <x v="1"/>
  </r>
  <r>
    <s v="ORD0915"/>
    <n v="45512"/>
    <s v="Customer 23"/>
    <x v="0"/>
    <x v="3"/>
    <x v="10"/>
    <n v="3"/>
    <n v="85"/>
    <n v="255"/>
    <n v="162.9"/>
    <n v="92.1"/>
    <x v="1"/>
  </r>
  <r>
    <s v="ORD0916"/>
    <n v="45585"/>
    <s v="Customer 141"/>
    <x v="2"/>
    <x v="0"/>
    <x v="0"/>
    <n v="1"/>
    <n v="24"/>
    <n v="24"/>
    <n v="14.28"/>
    <n v="9.7200000000000006"/>
    <x v="1"/>
  </r>
  <r>
    <s v="ORD0917"/>
    <n v="45585"/>
    <s v="Customer 15"/>
    <x v="2"/>
    <x v="0"/>
    <x v="1"/>
    <n v="5"/>
    <n v="81"/>
    <n v="405"/>
    <n v="312.64"/>
    <n v="92.36"/>
    <x v="2"/>
  </r>
  <r>
    <s v="ORD0918"/>
    <n v="45317"/>
    <s v="Customer 297"/>
    <x v="2"/>
    <x v="3"/>
    <x v="10"/>
    <n v="5"/>
    <n v="12"/>
    <n v="60"/>
    <n v="42.37"/>
    <n v="17.63"/>
    <x v="2"/>
  </r>
  <r>
    <s v="ORD0919"/>
    <n v="45531"/>
    <s v="Customer 207"/>
    <x v="3"/>
    <x v="0"/>
    <x v="0"/>
    <n v="3"/>
    <n v="82"/>
    <n v="246"/>
    <n v="178.54"/>
    <n v="67.459999999999994"/>
    <x v="1"/>
  </r>
  <r>
    <s v="ORD0920"/>
    <n v="45559"/>
    <s v="Customer 276"/>
    <x v="1"/>
    <x v="1"/>
    <x v="7"/>
    <n v="1"/>
    <n v="21"/>
    <n v="21"/>
    <n v="16.3"/>
    <n v="4.7"/>
    <x v="0"/>
  </r>
  <r>
    <s v="ORD0921"/>
    <n v="45461"/>
    <s v="Customer 245"/>
    <x v="2"/>
    <x v="3"/>
    <x v="5"/>
    <n v="3"/>
    <n v="44"/>
    <n v="132"/>
    <n v="78.94"/>
    <n v="53.06"/>
    <x v="1"/>
  </r>
  <r>
    <s v="ORD0922"/>
    <n v="45653"/>
    <s v="Customer 219"/>
    <x v="2"/>
    <x v="2"/>
    <x v="9"/>
    <n v="4"/>
    <n v="69"/>
    <n v="276"/>
    <n v="194.71"/>
    <n v="81.290000000000006"/>
    <x v="1"/>
  </r>
  <r>
    <s v="ORD0923"/>
    <n v="45567"/>
    <s v="Customer 1"/>
    <x v="0"/>
    <x v="0"/>
    <x v="2"/>
    <n v="1"/>
    <n v="59"/>
    <n v="59"/>
    <n v="46.47"/>
    <n v="12.53"/>
    <x v="1"/>
  </r>
  <r>
    <s v="ORD0924"/>
    <n v="45315"/>
    <s v="Customer 58"/>
    <x v="3"/>
    <x v="3"/>
    <x v="10"/>
    <n v="2"/>
    <n v="59"/>
    <n v="118"/>
    <n v="82.28"/>
    <n v="35.72"/>
    <x v="2"/>
  </r>
  <r>
    <s v="ORD0925"/>
    <n v="45631"/>
    <s v="Customer 117"/>
    <x v="0"/>
    <x v="1"/>
    <x v="7"/>
    <n v="5"/>
    <n v="94"/>
    <n v="470"/>
    <n v="340.65"/>
    <n v="129.35"/>
    <x v="0"/>
  </r>
  <r>
    <s v="ORD0926"/>
    <n v="45327"/>
    <s v="Customer 196"/>
    <x v="0"/>
    <x v="1"/>
    <x v="6"/>
    <n v="4"/>
    <n v="77"/>
    <n v="308"/>
    <n v="170.71"/>
    <n v="137.29"/>
    <x v="0"/>
  </r>
  <r>
    <s v="ORD0927"/>
    <n v="45454"/>
    <s v="Customer 26"/>
    <x v="0"/>
    <x v="0"/>
    <x v="2"/>
    <n v="5"/>
    <n v="92"/>
    <n v="460"/>
    <n v="233.27"/>
    <n v="226.73"/>
    <x v="3"/>
  </r>
  <r>
    <s v="ORD0928"/>
    <n v="45408"/>
    <s v="Customer 216"/>
    <x v="3"/>
    <x v="3"/>
    <x v="8"/>
    <n v="1"/>
    <n v="91"/>
    <n v="91"/>
    <n v="51.84"/>
    <n v="39.159999999999997"/>
    <x v="1"/>
  </r>
  <r>
    <s v="ORD0929"/>
    <n v="45527"/>
    <s v="Customer 241"/>
    <x v="2"/>
    <x v="3"/>
    <x v="5"/>
    <n v="4"/>
    <n v="22"/>
    <n v="88"/>
    <n v="49.82"/>
    <n v="38.18"/>
    <x v="0"/>
  </r>
  <r>
    <s v="ORD0930"/>
    <n v="45397"/>
    <s v="Customer 152"/>
    <x v="0"/>
    <x v="1"/>
    <x v="7"/>
    <n v="1"/>
    <n v="15"/>
    <n v="15"/>
    <n v="10.78"/>
    <n v="4.22"/>
    <x v="2"/>
  </r>
  <r>
    <s v="ORD0931"/>
    <n v="45323"/>
    <s v="Customer 109"/>
    <x v="1"/>
    <x v="1"/>
    <x v="6"/>
    <n v="1"/>
    <n v="50"/>
    <n v="50"/>
    <n v="36.380000000000003"/>
    <n v="13.62"/>
    <x v="2"/>
  </r>
  <r>
    <s v="ORD0932"/>
    <n v="45424"/>
    <s v="Customer 218"/>
    <x v="0"/>
    <x v="2"/>
    <x v="4"/>
    <n v="4"/>
    <n v="93"/>
    <n v="372"/>
    <n v="279.39999999999998"/>
    <n v="92.6"/>
    <x v="1"/>
  </r>
  <r>
    <s v="ORD0933"/>
    <n v="45444"/>
    <s v="Customer 86"/>
    <x v="0"/>
    <x v="0"/>
    <x v="2"/>
    <n v="4"/>
    <n v="15"/>
    <n v="60"/>
    <n v="45.34"/>
    <n v="14.66"/>
    <x v="3"/>
  </r>
  <r>
    <s v="ORD0934"/>
    <n v="45576"/>
    <s v="Customer 31"/>
    <x v="1"/>
    <x v="3"/>
    <x v="5"/>
    <n v="2"/>
    <n v="52"/>
    <n v="104"/>
    <n v="70.39"/>
    <n v="33.61"/>
    <x v="3"/>
  </r>
  <r>
    <s v="ORD0935"/>
    <n v="45424"/>
    <s v="Customer 23"/>
    <x v="3"/>
    <x v="0"/>
    <x v="2"/>
    <n v="1"/>
    <n v="56"/>
    <n v="56"/>
    <n v="38.9"/>
    <n v="17.100000000000001"/>
    <x v="3"/>
  </r>
  <r>
    <s v="ORD0936"/>
    <n v="45397"/>
    <s v="Customer 230"/>
    <x v="0"/>
    <x v="1"/>
    <x v="6"/>
    <n v="2"/>
    <n v="19"/>
    <n v="38"/>
    <n v="25.95"/>
    <n v="12.05"/>
    <x v="3"/>
  </r>
  <r>
    <s v="ORD0937"/>
    <n v="45429"/>
    <s v="Customer 260"/>
    <x v="1"/>
    <x v="2"/>
    <x v="12"/>
    <n v="1"/>
    <n v="72"/>
    <n v="72"/>
    <n v="51.6"/>
    <n v="20.399999999999999"/>
    <x v="0"/>
  </r>
  <r>
    <s v="ORD0938"/>
    <n v="45507"/>
    <s v="Customer 264"/>
    <x v="1"/>
    <x v="1"/>
    <x v="3"/>
    <n v="1"/>
    <n v="30"/>
    <n v="30"/>
    <n v="23.62"/>
    <n v="6.38"/>
    <x v="2"/>
  </r>
  <r>
    <s v="ORD0939"/>
    <n v="45475"/>
    <s v="Customer 257"/>
    <x v="3"/>
    <x v="1"/>
    <x v="3"/>
    <n v="3"/>
    <n v="80"/>
    <n v="240"/>
    <n v="128.22999999999999"/>
    <n v="111.77"/>
    <x v="3"/>
  </r>
  <r>
    <s v="ORD0940"/>
    <n v="45557"/>
    <s v="Customer 198"/>
    <x v="2"/>
    <x v="3"/>
    <x v="10"/>
    <n v="3"/>
    <n v="60"/>
    <n v="180"/>
    <n v="126.77"/>
    <n v="53.23"/>
    <x v="3"/>
  </r>
  <r>
    <s v="ORD0941"/>
    <n v="45606"/>
    <s v="Customer 51"/>
    <x v="0"/>
    <x v="2"/>
    <x v="4"/>
    <n v="2"/>
    <n v="34"/>
    <n v="68"/>
    <n v="40.729999999999997"/>
    <n v="27.27"/>
    <x v="1"/>
  </r>
  <r>
    <s v="ORD0942"/>
    <n v="45438"/>
    <s v="Customer 14"/>
    <x v="0"/>
    <x v="0"/>
    <x v="0"/>
    <n v="2"/>
    <n v="22"/>
    <n v="44"/>
    <n v="23.36"/>
    <n v="20.64"/>
    <x v="3"/>
  </r>
  <r>
    <s v="ORD0943"/>
    <n v="45649"/>
    <s v="Customer 287"/>
    <x v="0"/>
    <x v="3"/>
    <x v="10"/>
    <n v="1"/>
    <n v="26"/>
    <n v="26"/>
    <n v="20.55"/>
    <n v="5.45"/>
    <x v="3"/>
  </r>
  <r>
    <s v="ORD0944"/>
    <n v="45650"/>
    <s v="Customer 30"/>
    <x v="3"/>
    <x v="3"/>
    <x v="8"/>
    <n v="5"/>
    <n v="40"/>
    <n v="200"/>
    <n v="134.96"/>
    <n v="65.040000000000006"/>
    <x v="1"/>
  </r>
  <r>
    <s v="ORD0945"/>
    <n v="45558"/>
    <s v="Customer 237"/>
    <x v="0"/>
    <x v="3"/>
    <x v="10"/>
    <n v="5"/>
    <n v="26"/>
    <n v="130"/>
    <n v="65.95"/>
    <n v="64.05"/>
    <x v="0"/>
  </r>
  <r>
    <s v="ORD0946"/>
    <n v="45434"/>
    <s v="Customer 140"/>
    <x v="1"/>
    <x v="2"/>
    <x v="4"/>
    <n v="1"/>
    <n v="72"/>
    <n v="72"/>
    <n v="44.95"/>
    <n v="27.05"/>
    <x v="2"/>
  </r>
  <r>
    <s v="ORD0947"/>
    <n v="45492"/>
    <s v="Customer 15"/>
    <x v="2"/>
    <x v="0"/>
    <x v="1"/>
    <n v="1"/>
    <n v="39"/>
    <n v="39"/>
    <n v="31.15"/>
    <n v="7.85"/>
    <x v="0"/>
  </r>
  <r>
    <s v="ORD0948"/>
    <n v="45429"/>
    <s v="Customer 24"/>
    <x v="0"/>
    <x v="1"/>
    <x v="11"/>
    <n v="1"/>
    <n v="78"/>
    <n v="78"/>
    <n v="61.55"/>
    <n v="16.45"/>
    <x v="1"/>
  </r>
  <r>
    <s v="ORD0949"/>
    <n v="45320"/>
    <s v="Customer 79"/>
    <x v="2"/>
    <x v="2"/>
    <x v="12"/>
    <n v="3"/>
    <n v="99"/>
    <n v="297"/>
    <n v="153.94"/>
    <n v="143.06"/>
    <x v="1"/>
  </r>
  <r>
    <s v="ORD0950"/>
    <n v="45432"/>
    <s v="Customer 30"/>
    <x v="3"/>
    <x v="0"/>
    <x v="0"/>
    <n v="2"/>
    <n v="98"/>
    <n v="196"/>
    <n v="100.45"/>
    <n v="95.55"/>
    <x v="1"/>
  </r>
  <r>
    <s v="ORD0951"/>
    <n v="45373"/>
    <s v="Customer 108"/>
    <x v="3"/>
    <x v="0"/>
    <x v="0"/>
    <n v="3"/>
    <n v="61"/>
    <n v="183"/>
    <n v="107.54"/>
    <n v="75.459999999999994"/>
    <x v="0"/>
  </r>
  <r>
    <s v="ORD0952"/>
    <n v="45653"/>
    <s v="Customer 2"/>
    <x v="2"/>
    <x v="3"/>
    <x v="10"/>
    <n v="4"/>
    <n v="93"/>
    <n v="372"/>
    <n v="276.01"/>
    <n v="95.99"/>
    <x v="2"/>
  </r>
  <r>
    <s v="ORD0953"/>
    <n v="45425"/>
    <s v="Customer 146"/>
    <x v="3"/>
    <x v="2"/>
    <x v="4"/>
    <n v="4"/>
    <n v="38"/>
    <n v="152"/>
    <n v="83"/>
    <n v="69"/>
    <x v="2"/>
  </r>
  <r>
    <s v="ORD0954"/>
    <n v="45620"/>
    <s v="Customer 201"/>
    <x v="3"/>
    <x v="0"/>
    <x v="2"/>
    <n v="4"/>
    <n v="33"/>
    <n v="132"/>
    <n v="104.17"/>
    <n v="27.83"/>
    <x v="0"/>
  </r>
  <r>
    <s v="ORD0955"/>
    <n v="45413"/>
    <s v="Customer 53"/>
    <x v="1"/>
    <x v="2"/>
    <x v="4"/>
    <n v="3"/>
    <n v="10"/>
    <n v="30"/>
    <n v="17.45"/>
    <n v="12.55"/>
    <x v="0"/>
  </r>
  <r>
    <s v="ORD0956"/>
    <n v="45396"/>
    <s v="Customer 245"/>
    <x v="0"/>
    <x v="1"/>
    <x v="11"/>
    <n v="2"/>
    <n v="19"/>
    <n v="38"/>
    <n v="25.63"/>
    <n v="12.37"/>
    <x v="3"/>
  </r>
  <r>
    <s v="ORD0957"/>
    <n v="45394"/>
    <s v="Customer 210"/>
    <x v="3"/>
    <x v="3"/>
    <x v="8"/>
    <n v="4"/>
    <n v="19"/>
    <n v="76"/>
    <n v="44.8"/>
    <n v="31.2"/>
    <x v="1"/>
  </r>
  <r>
    <s v="ORD0958"/>
    <n v="45429"/>
    <s v="Customer 257"/>
    <x v="3"/>
    <x v="1"/>
    <x v="6"/>
    <n v="2"/>
    <n v="69"/>
    <n v="138"/>
    <n v="109.33"/>
    <n v="28.67"/>
    <x v="2"/>
  </r>
  <r>
    <s v="ORD0959"/>
    <n v="45519"/>
    <s v="Customer 49"/>
    <x v="2"/>
    <x v="3"/>
    <x v="10"/>
    <n v="5"/>
    <n v="72"/>
    <n v="360"/>
    <n v="185.92"/>
    <n v="174.08"/>
    <x v="2"/>
  </r>
  <r>
    <s v="ORD0960"/>
    <n v="45433"/>
    <s v="Customer 168"/>
    <x v="2"/>
    <x v="0"/>
    <x v="2"/>
    <n v="2"/>
    <n v="32"/>
    <n v="64"/>
    <n v="34.1"/>
    <n v="29.9"/>
    <x v="1"/>
  </r>
  <r>
    <s v="ORD0961"/>
    <n v="45644"/>
    <s v="Customer 65"/>
    <x v="2"/>
    <x v="3"/>
    <x v="5"/>
    <n v="1"/>
    <n v="45"/>
    <n v="45"/>
    <n v="26.17"/>
    <n v="18.829999999999998"/>
    <x v="3"/>
  </r>
  <r>
    <s v="ORD0962"/>
    <n v="45528"/>
    <s v="Customer 109"/>
    <x v="0"/>
    <x v="0"/>
    <x v="1"/>
    <n v="4"/>
    <n v="79"/>
    <n v="316"/>
    <n v="187.03"/>
    <n v="128.97"/>
    <x v="1"/>
  </r>
  <r>
    <s v="ORD0963"/>
    <n v="45469"/>
    <s v="Customer 278"/>
    <x v="0"/>
    <x v="1"/>
    <x v="6"/>
    <n v="4"/>
    <n v="89"/>
    <n v="356"/>
    <n v="284.38"/>
    <n v="71.62"/>
    <x v="3"/>
  </r>
  <r>
    <s v="ORD0964"/>
    <n v="45367"/>
    <s v="Customer 9"/>
    <x v="0"/>
    <x v="1"/>
    <x v="3"/>
    <n v="4"/>
    <n v="33"/>
    <n v="132"/>
    <n v="101.94"/>
    <n v="30.06"/>
    <x v="0"/>
  </r>
  <r>
    <s v="ORD0965"/>
    <n v="45395"/>
    <s v="Customer 146"/>
    <x v="0"/>
    <x v="3"/>
    <x v="8"/>
    <n v="1"/>
    <n v="45"/>
    <n v="45"/>
    <n v="32.53"/>
    <n v="12.47"/>
    <x v="1"/>
  </r>
  <r>
    <s v="ORD0966"/>
    <n v="45427"/>
    <s v="Customer 102"/>
    <x v="2"/>
    <x v="2"/>
    <x v="12"/>
    <n v="1"/>
    <n v="49"/>
    <n v="49"/>
    <n v="37.46"/>
    <n v="11.54"/>
    <x v="3"/>
  </r>
  <r>
    <s v="ORD0967"/>
    <n v="45541"/>
    <s v="Customer 64"/>
    <x v="0"/>
    <x v="3"/>
    <x v="5"/>
    <n v="3"/>
    <n v="74"/>
    <n v="222"/>
    <n v="126.62"/>
    <n v="95.38"/>
    <x v="0"/>
  </r>
  <r>
    <s v="ORD0968"/>
    <n v="45491"/>
    <s v="Customer 152"/>
    <x v="1"/>
    <x v="2"/>
    <x v="4"/>
    <n v="1"/>
    <n v="30"/>
    <n v="30"/>
    <n v="16.36"/>
    <n v="13.64"/>
    <x v="1"/>
  </r>
  <r>
    <s v="ORD0969"/>
    <n v="45447"/>
    <s v="Customer 168"/>
    <x v="0"/>
    <x v="1"/>
    <x v="3"/>
    <n v="2"/>
    <n v="66"/>
    <n v="132"/>
    <n v="103.94"/>
    <n v="28.06"/>
    <x v="3"/>
  </r>
  <r>
    <s v="ORD0970"/>
    <n v="45607"/>
    <s v="Customer 287"/>
    <x v="1"/>
    <x v="0"/>
    <x v="2"/>
    <n v="3"/>
    <n v="78"/>
    <n v="234"/>
    <n v="129.71"/>
    <n v="104.29"/>
    <x v="3"/>
  </r>
  <r>
    <s v="ORD0971"/>
    <n v="45403"/>
    <s v="Customer 193"/>
    <x v="0"/>
    <x v="3"/>
    <x v="10"/>
    <n v="4"/>
    <n v="74"/>
    <n v="296"/>
    <n v="187.37"/>
    <n v="108.63"/>
    <x v="1"/>
  </r>
  <r>
    <s v="ORD0972"/>
    <n v="45431"/>
    <s v="Customer 210"/>
    <x v="2"/>
    <x v="1"/>
    <x v="11"/>
    <n v="4"/>
    <n v="90"/>
    <n v="360"/>
    <n v="237.57"/>
    <n v="122.43"/>
    <x v="2"/>
  </r>
  <r>
    <s v="ORD0973"/>
    <n v="45475"/>
    <s v="Customer 288"/>
    <x v="0"/>
    <x v="0"/>
    <x v="2"/>
    <n v="1"/>
    <n v="66"/>
    <n v="66"/>
    <n v="45.4"/>
    <n v="20.6"/>
    <x v="3"/>
  </r>
  <r>
    <s v="ORD0974"/>
    <n v="45309"/>
    <s v="Customer 225"/>
    <x v="1"/>
    <x v="3"/>
    <x v="5"/>
    <n v="1"/>
    <n v="66"/>
    <n v="66"/>
    <n v="42.15"/>
    <n v="23.85"/>
    <x v="1"/>
  </r>
  <r>
    <s v="ORD0975"/>
    <n v="45426"/>
    <s v="Customer 176"/>
    <x v="3"/>
    <x v="3"/>
    <x v="10"/>
    <n v="4"/>
    <n v="51"/>
    <n v="204"/>
    <n v="124.46"/>
    <n v="79.540000000000006"/>
    <x v="0"/>
  </r>
  <r>
    <s v="ORD0976"/>
    <n v="45589"/>
    <s v="Customer 178"/>
    <x v="3"/>
    <x v="1"/>
    <x v="11"/>
    <n v="3"/>
    <n v="29"/>
    <n v="87"/>
    <n v="49.43"/>
    <n v="37.57"/>
    <x v="2"/>
  </r>
  <r>
    <s v="ORD0977"/>
    <n v="45626"/>
    <s v="Customer 115"/>
    <x v="2"/>
    <x v="2"/>
    <x v="9"/>
    <n v="1"/>
    <n v="56"/>
    <n v="56"/>
    <n v="43.39"/>
    <n v="12.61"/>
    <x v="1"/>
  </r>
  <r>
    <s v="ORD0978"/>
    <n v="45571"/>
    <s v="Customer 296"/>
    <x v="2"/>
    <x v="1"/>
    <x v="7"/>
    <n v="2"/>
    <n v="82"/>
    <n v="164"/>
    <n v="96.35"/>
    <n v="67.650000000000006"/>
    <x v="1"/>
  </r>
  <r>
    <s v="ORD0979"/>
    <n v="45538"/>
    <s v="Customer 152"/>
    <x v="1"/>
    <x v="0"/>
    <x v="0"/>
    <n v="2"/>
    <n v="34"/>
    <n v="68"/>
    <n v="53.36"/>
    <n v="14.64"/>
    <x v="0"/>
  </r>
  <r>
    <s v="ORD0980"/>
    <n v="45588"/>
    <s v="Customer 124"/>
    <x v="0"/>
    <x v="0"/>
    <x v="1"/>
    <n v="3"/>
    <n v="66"/>
    <n v="198"/>
    <n v="115.64"/>
    <n v="82.36"/>
    <x v="3"/>
  </r>
  <r>
    <s v="ORD0981"/>
    <n v="45644"/>
    <s v="Customer 11"/>
    <x v="2"/>
    <x v="2"/>
    <x v="12"/>
    <n v="2"/>
    <n v="21"/>
    <n v="42"/>
    <n v="33.04"/>
    <n v="8.9600000000000009"/>
    <x v="0"/>
  </r>
  <r>
    <s v="ORD0982"/>
    <n v="45495"/>
    <s v="Customer 152"/>
    <x v="2"/>
    <x v="1"/>
    <x v="7"/>
    <n v="1"/>
    <n v="19"/>
    <n v="19"/>
    <n v="11.91"/>
    <n v="7.09"/>
    <x v="0"/>
  </r>
  <r>
    <s v="ORD0983"/>
    <n v="45416"/>
    <s v="Customer 7"/>
    <x v="2"/>
    <x v="0"/>
    <x v="2"/>
    <n v="5"/>
    <n v="73"/>
    <n v="365"/>
    <n v="212.69"/>
    <n v="152.31"/>
    <x v="1"/>
  </r>
  <r>
    <s v="ORD0984"/>
    <n v="45488"/>
    <s v="Customer 22"/>
    <x v="2"/>
    <x v="1"/>
    <x v="6"/>
    <n v="1"/>
    <n v="79"/>
    <n v="79"/>
    <n v="44.72"/>
    <n v="34.28"/>
    <x v="1"/>
  </r>
  <r>
    <s v="ORD0985"/>
    <n v="45519"/>
    <s v="Customer 244"/>
    <x v="3"/>
    <x v="1"/>
    <x v="3"/>
    <n v="1"/>
    <n v="41"/>
    <n v="41"/>
    <n v="24.99"/>
    <n v="16.010000000000002"/>
    <x v="2"/>
  </r>
  <r>
    <s v="ORD0986"/>
    <n v="45450"/>
    <s v="Customer 143"/>
    <x v="1"/>
    <x v="3"/>
    <x v="5"/>
    <n v="5"/>
    <n v="69"/>
    <n v="345"/>
    <n v="175.31"/>
    <n v="169.69"/>
    <x v="2"/>
  </r>
  <r>
    <s v="ORD0987"/>
    <n v="45547"/>
    <s v="Customer 58"/>
    <x v="0"/>
    <x v="2"/>
    <x v="12"/>
    <n v="1"/>
    <n v="53"/>
    <n v="53"/>
    <n v="31.44"/>
    <n v="21.56"/>
    <x v="2"/>
  </r>
  <r>
    <s v="ORD0988"/>
    <n v="45365"/>
    <s v="Customer 175"/>
    <x v="0"/>
    <x v="3"/>
    <x v="10"/>
    <n v="1"/>
    <n v="30"/>
    <n v="30"/>
    <n v="15.06"/>
    <n v="14.94"/>
    <x v="1"/>
  </r>
  <r>
    <s v="ORD0989"/>
    <n v="45431"/>
    <s v="Customer 219"/>
    <x v="2"/>
    <x v="1"/>
    <x v="7"/>
    <n v="1"/>
    <n v="19"/>
    <n v="19"/>
    <n v="10.87"/>
    <n v="8.1300000000000008"/>
    <x v="1"/>
  </r>
  <r>
    <s v="ORD0990"/>
    <n v="45419"/>
    <s v="Customer 52"/>
    <x v="1"/>
    <x v="0"/>
    <x v="2"/>
    <n v="1"/>
    <n v="100"/>
    <n v="100"/>
    <n v="62.73"/>
    <n v="37.270000000000003"/>
    <x v="3"/>
  </r>
  <r>
    <s v="ORD0991"/>
    <n v="45368"/>
    <s v="Customer 115"/>
    <x v="1"/>
    <x v="1"/>
    <x v="11"/>
    <n v="5"/>
    <n v="25"/>
    <n v="125"/>
    <n v="84.61"/>
    <n v="40.39"/>
    <x v="3"/>
  </r>
  <r>
    <s v="ORD0992"/>
    <n v="45520"/>
    <s v="Customer 147"/>
    <x v="2"/>
    <x v="2"/>
    <x v="9"/>
    <n v="4"/>
    <n v="81"/>
    <n v="324"/>
    <n v="179.27"/>
    <n v="144.72999999999999"/>
    <x v="2"/>
  </r>
  <r>
    <s v="ORD0993"/>
    <n v="45643"/>
    <s v="Customer 208"/>
    <x v="2"/>
    <x v="1"/>
    <x v="3"/>
    <n v="1"/>
    <n v="30"/>
    <n v="30"/>
    <n v="18.940000000000001"/>
    <n v="11.06"/>
    <x v="2"/>
  </r>
  <r>
    <s v="ORD0994"/>
    <n v="45548"/>
    <s v="Customer 168"/>
    <x v="3"/>
    <x v="1"/>
    <x v="7"/>
    <n v="1"/>
    <n v="28"/>
    <n v="28"/>
    <n v="15.76"/>
    <n v="12.24"/>
    <x v="3"/>
  </r>
  <r>
    <s v="ORD0995"/>
    <n v="45546"/>
    <s v="Customer 131"/>
    <x v="0"/>
    <x v="1"/>
    <x v="11"/>
    <n v="1"/>
    <n v="19"/>
    <n v="19"/>
    <n v="10.93"/>
    <n v="8.07"/>
    <x v="0"/>
  </r>
  <r>
    <s v="ORD0996"/>
    <n v="45597"/>
    <s v="Customer 179"/>
    <x v="2"/>
    <x v="0"/>
    <x v="1"/>
    <n v="2"/>
    <n v="23"/>
    <n v="46"/>
    <n v="30.27"/>
    <n v="15.73"/>
    <x v="0"/>
  </r>
  <r>
    <s v="ORD0997"/>
    <n v="45425"/>
    <s v="Customer 243"/>
    <x v="3"/>
    <x v="0"/>
    <x v="1"/>
    <n v="5"/>
    <n v="32"/>
    <n v="160"/>
    <n v="93.39"/>
    <n v="66.61"/>
    <x v="2"/>
  </r>
  <r>
    <s v="ORD0998"/>
    <n v="45463"/>
    <s v="Customer 125"/>
    <x v="2"/>
    <x v="3"/>
    <x v="10"/>
    <n v="3"/>
    <n v="55"/>
    <n v="165"/>
    <n v="119.36"/>
    <n v="45.64"/>
    <x v="3"/>
  </r>
  <r>
    <s v="ORD0999"/>
    <n v="45513"/>
    <s v="Customer 18"/>
    <x v="1"/>
    <x v="3"/>
    <x v="5"/>
    <n v="3"/>
    <n v="20"/>
    <n v="60"/>
    <n v="41.51"/>
    <n v="18.489999999999998"/>
    <x v="1"/>
  </r>
  <r>
    <s v="ORD1000"/>
    <n v="45543"/>
    <s v="Customer 118"/>
    <x v="0"/>
    <x v="1"/>
    <x v="7"/>
    <n v="2"/>
    <n v="22"/>
    <n v="44"/>
    <n v="27.07"/>
    <n v="16.93"/>
    <x v="2"/>
  </r>
  <r>
    <s v="ORD1001"/>
    <n v="45449"/>
    <s v="Customer 271"/>
    <x v="3"/>
    <x v="2"/>
    <x v="12"/>
    <n v="4"/>
    <n v="77"/>
    <n v="308"/>
    <n v="194.09"/>
    <n v="113.91"/>
    <x v="1"/>
  </r>
  <r>
    <s v="ORD1002"/>
    <n v="45476"/>
    <s v="Customer 183"/>
    <x v="1"/>
    <x v="0"/>
    <x v="2"/>
    <n v="2"/>
    <n v="45"/>
    <n v="90"/>
    <n v="71.44"/>
    <n v="18.559999999999999"/>
    <x v="0"/>
  </r>
  <r>
    <s v="ORD1003"/>
    <n v="45525"/>
    <s v="Customer 75"/>
    <x v="0"/>
    <x v="3"/>
    <x v="10"/>
    <n v="1"/>
    <n v="41"/>
    <n v="41"/>
    <n v="22.1"/>
    <n v="18.899999999999999"/>
    <x v="1"/>
  </r>
  <r>
    <s v="ORD1004"/>
    <n v="45443"/>
    <s v="Customer 120"/>
    <x v="2"/>
    <x v="3"/>
    <x v="8"/>
    <n v="5"/>
    <n v="47"/>
    <n v="235"/>
    <n v="178.67"/>
    <n v="56.33"/>
    <x v="1"/>
  </r>
  <r>
    <s v="ORD1005"/>
    <n v="45643"/>
    <s v="Customer 178"/>
    <x v="2"/>
    <x v="3"/>
    <x v="10"/>
    <n v="5"/>
    <n v="53"/>
    <n v="265"/>
    <n v="159.31"/>
    <n v="105.69"/>
    <x v="0"/>
  </r>
  <r>
    <s v="ORD1006"/>
    <n v="45539"/>
    <s v="Customer 84"/>
    <x v="1"/>
    <x v="0"/>
    <x v="1"/>
    <n v="3"/>
    <n v="33"/>
    <n v="99"/>
    <n v="71.48"/>
    <n v="27.52"/>
    <x v="2"/>
  </r>
  <r>
    <s v="ORD1007"/>
    <n v="45388"/>
    <s v="Customer 185"/>
    <x v="3"/>
    <x v="3"/>
    <x v="8"/>
    <n v="4"/>
    <n v="54"/>
    <n v="216"/>
    <n v="157.03"/>
    <n v="58.97"/>
    <x v="3"/>
  </r>
  <r>
    <s v="ORD1008"/>
    <n v="45600"/>
    <s v="Customer 77"/>
    <x v="3"/>
    <x v="1"/>
    <x v="7"/>
    <n v="2"/>
    <n v="21"/>
    <n v="42"/>
    <n v="25.59"/>
    <n v="16.41"/>
    <x v="3"/>
  </r>
  <r>
    <s v="ORD1009"/>
    <n v="45354"/>
    <s v="Customer 74"/>
    <x v="1"/>
    <x v="1"/>
    <x v="6"/>
    <n v="2"/>
    <n v="50"/>
    <n v="100"/>
    <n v="59.47"/>
    <n v="40.53"/>
    <x v="2"/>
  </r>
  <r>
    <s v="ORD1010"/>
    <n v="45579"/>
    <s v="Customer 261"/>
    <x v="2"/>
    <x v="0"/>
    <x v="0"/>
    <n v="3"/>
    <n v="19"/>
    <n v="57"/>
    <n v="36.67"/>
    <n v="20.329999999999998"/>
    <x v="1"/>
  </r>
  <r>
    <s v="ORD1011"/>
    <n v="45553"/>
    <s v="Customer 30"/>
    <x v="2"/>
    <x v="2"/>
    <x v="4"/>
    <n v="1"/>
    <n v="81"/>
    <n v="81"/>
    <n v="51.77"/>
    <n v="29.23"/>
    <x v="1"/>
  </r>
  <r>
    <s v="ORD1012"/>
    <n v="45444"/>
    <s v="Customer 218"/>
    <x v="1"/>
    <x v="1"/>
    <x v="7"/>
    <n v="5"/>
    <n v="100"/>
    <n v="500"/>
    <n v="276.56"/>
    <n v="223.44"/>
    <x v="1"/>
  </r>
  <r>
    <s v="ORD1013"/>
    <n v="45317"/>
    <s v="Customer 197"/>
    <x v="2"/>
    <x v="0"/>
    <x v="2"/>
    <n v="2"/>
    <n v="59"/>
    <n v="118"/>
    <n v="77.540000000000006"/>
    <n v="40.46"/>
    <x v="3"/>
  </r>
  <r>
    <s v="ORD1014"/>
    <n v="45324"/>
    <s v="Customer 206"/>
    <x v="3"/>
    <x v="1"/>
    <x v="3"/>
    <n v="3"/>
    <n v="97"/>
    <n v="291"/>
    <n v="229.78"/>
    <n v="61.22"/>
    <x v="2"/>
  </r>
  <r>
    <s v="ORD1015"/>
    <n v="45359"/>
    <s v="Customer 246"/>
    <x v="1"/>
    <x v="1"/>
    <x v="11"/>
    <n v="3"/>
    <n v="17"/>
    <n v="51"/>
    <n v="34.130000000000003"/>
    <n v="16.87"/>
    <x v="3"/>
  </r>
  <r>
    <s v="ORD1016"/>
    <n v="45407"/>
    <s v="Customer 170"/>
    <x v="3"/>
    <x v="1"/>
    <x v="6"/>
    <n v="5"/>
    <n v="23"/>
    <n v="115"/>
    <n v="90.33"/>
    <n v="24.67"/>
    <x v="1"/>
  </r>
  <r>
    <s v="ORD1017"/>
    <n v="45390"/>
    <s v="Customer 41"/>
    <x v="3"/>
    <x v="2"/>
    <x v="4"/>
    <n v="1"/>
    <n v="88"/>
    <n v="88"/>
    <n v="68.94"/>
    <n v="19.059999999999999"/>
    <x v="3"/>
  </r>
  <r>
    <s v="ORD1018"/>
    <n v="45420"/>
    <s v="Customer 94"/>
    <x v="3"/>
    <x v="0"/>
    <x v="2"/>
    <n v="1"/>
    <n v="85"/>
    <n v="85"/>
    <n v="58.26"/>
    <n v="26.74"/>
    <x v="1"/>
  </r>
  <r>
    <s v="ORD1019"/>
    <n v="45483"/>
    <s v="Customer 53"/>
    <x v="1"/>
    <x v="3"/>
    <x v="10"/>
    <n v="5"/>
    <n v="69"/>
    <n v="345"/>
    <n v="204.88"/>
    <n v="140.12"/>
    <x v="2"/>
  </r>
  <r>
    <s v="ORD1020"/>
    <n v="45613"/>
    <s v="Customer 200"/>
    <x v="0"/>
    <x v="2"/>
    <x v="12"/>
    <n v="4"/>
    <n v="52"/>
    <n v="208"/>
    <n v="144"/>
    <n v="64"/>
    <x v="2"/>
  </r>
  <r>
    <s v="ORD1021"/>
    <n v="45649"/>
    <s v="Customer 292"/>
    <x v="2"/>
    <x v="2"/>
    <x v="4"/>
    <n v="4"/>
    <n v="86"/>
    <n v="344"/>
    <n v="206.71"/>
    <n v="137.29"/>
    <x v="0"/>
  </r>
  <r>
    <s v="ORD1022"/>
    <n v="45328"/>
    <s v="Customer 198"/>
    <x v="0"/>
    <x v="0"/>
    <x v="0"/>
    <n v="3"/>
    <n v="95"/>
    <n v="285"/>
    <n v="149.94999999999999"/>
    <n v="135.05000000000001"/>
    <x v="1"/>
  </r>
  <r>
    <s v="ORD1023"/>
    <n v="45440"/>
    <s v="Customer 187"/>
    <x v="3"/>
    <x v="0"/>
    <x v="2"/>
    <n v="5"/>
    <n v="34"/>
    <n v="170"/>
    <n v="88.07"/>
    <n v="81.93"/>
    <x v="2"/>
  </r>
  <r>
    <s v="ORD1024"/>
    <n v="45459"/>
    <s v="Customer 87"/>
    <x v="3"/>
    <x v="0"/>
    <x v="0"/>
    <n v="3"/>
    <n v="66"/>
    <n v="198"/>
    <n v="146.99"/>
    <n v="51.01"/>
    <x v="3"/>
  </r>
  <r>
    <s v="ORD1025"/>
    <n v="45649"/>
    <s v="Customer 255"/>
    <x v="0"/>
    <x v="2"/>
    <x v="9"/>
    <n v="2"/>
    <n v="27"/>
    <n v="54"/>
    <n v="39.590000000000003"/>
    <n v="14.41"/>
    <x v="3"/>
  </r>
  <r>
    <s v="ORD1026"/>
    <n v="45550"/>
    <s v="Customer 50"/>
    <x v="3"/>
    <x v="2"/>
    <x v="12"/>
    <n v="4"/>
    <n v="93"/>
    <n v="372"/>
    <n v="264.77999999999997"/>
    <n v="107.22"/>
    <x v="1"/>
  </r>
  <r>
    <s v="ORD1027"/>
    <n v="45461"/>
    <s v="Customer 83"/>
    <x v="1"/>
    <x v="2"/>
    <x v="9"/>
    <n v="3"/>
    <n v="90"/>
    <n v="270"/>
    <n v="179.31"/>
    <n v="90.69"/>
    <x v="1"/>
  </r>
  <r>
    <s v="ORD1028"/>
    <n v="45579"/>
    <s v="Customer 160"/>
    <x v="1"/>
    <x v="0"/>
    <x v="2"/>
    <n v="1"/>
    <n v="60"/>
    <n v="60"/>
    <n v="37.44"/>
    <n v="22.56"/>
    <x v="3"/>
  </r>
  <r>
    <s v="ORD1029"/>
    <n v="45635"/>
    <s v="Customer 48"/>
    <x v="2"/>
    <x v="0"/>
    <x v="1"/>
    <n v="3"/>
    <n v="54"/>
    <n v="162"/>
    <n v="86.14"/>
    <n v="75.86"/>
    <x v="0"/>
  </r>
  <r>
    <s v="ORD1030"/>
    <n v="45448"/>
    <s v="Customer 68"/>
    <x v="2"/>
    <x v="1"/>
    <x v="11"/>
    <n v="3"/>
    <n v="34"/>
    <n v="102"/>
    <n v="68.989999999999995"/>
    <n v="33.01"/>
    <x v="0"/>
  </r>
  <r>
    <s v="ORD1031"/>
    <n v="45615"/>
    <s v="Customer 106"/>
    <x v="0"/>
    <x v="2"/>
    <x v="4"/>
    <n v="5"/>
    <n v="90"/>
    <n v="450"/>
    <n v="325.95"/>
    <n v="124.05"/>
    <x v="0"/>
  </r>
  <r>
    <s v="ORD1032"/>
    <n v="45313"/>
    <s v="Customer 292"/>
    <x v="1"/>
    <x v="0"/>
    <x v="2"/>
    <n v="5"/>
    <n v="29"/>
    <n v="145"/>
    <n v="105"/>
    <n v="40"/>
    <x v="2"/>
  </r>
  <r>
    <s v="ORD1033"/>
    <n v="45556"/>
    <s v="Customer 4"/>
    <x v="1"/>
    <x v="2"/>
    <x v="9"/>
    <n v="5"/>
    <n v="85"/>
    <n v="425"/>
    <n v="304.56"/>
    <n v="120.44"/>
    <x v="0"/>
  </r>
  <r>
    <s v="ORD1034"/>
    <n v="45418"/>
    <s v="Customer 93"/>
    <x v="3"/>
    <x v="1"/>
    <x v="11"/>
    <n v="1"/>
    <n v="46"/>
    <n v="46"/>
    <n v="28.67"/>
    <n v="17.329999999999998"/>
    <x v="2"/>
  </r>
  <r>
    <s v="ORD1035"/>
    <n v="45594"/>
    <s v="Customer 291"/>
    <x v="1"/>
    <x v="0"/>
    <x v="0"/>
    <n v="3"/>
    <n v="38"/>
    <n v="114"/>
    <n v="61.54"/>
    <n v="52.46"/>
    <x v="0"/>
  </r>
  <r>
    <s v="ORD1036"/>
    <n v="45416"/>
    <s v="Customer 125"/>
    <x v="0"/>
    <x v="3"/>
    <x v="10"/>
    <n v="2"/>
    <n v="73"/>
    <n v="146"/>
    <n v="95.6"/>
    <n v="50.4"/>
    <x v="0"/>
  </r>
  <r>
    <s v="ORD1037"/>
    <n v="45637"/>
    <s v="Customer 296"/>
    <x v="1"/>
    <x v="3"/>
    <x v="10"/>
    <n v="2"/>
    <n v="23"/>
    <n v="46"/>
    <n v="24.73"/>
    <n v="21.27"/>
    <x v="0"/>
  </r>
  <r>
    <s v="ORD1038"/>
    <n v="45450"/>
    <s v="Customer 237"/>
    <x v="1"/>
    <x v="2"/>
    <x v="9"/>
    <n v="5"/>
    <n v="18"/>
    <n v="90"/>
    <n v="64.2"/>
    <n v="25.8"/>
    <x v="1"/>
  </r>
  <r>
    <s v="ORD1039"/>
    <n v="45469"/>
    <s v="Customer 102"/>
    <x v="0"/>
    <x v="2"/>
    <x v="4"/>
    <n v="1"/>
    <n v="79"/>
    <n v="79"/>
    <n v="43.96"/>
    <n v="35.04"/>
    <x v="0"/>
  </r>
  <r>
    <s v="ORD1040"/>
    <n v="45598"/>
    <s v="Customer 49"/>
    <x v="0"/>
    <x v="0"/>
    <x v="0"/>
    <n v="4"/>
    <n v="23"/>
    <n v="92"/>
    <n v="60.31"/>
    <n v="31.69"/>
    <x v="0"/>
  </r>
  <r>
    <s v="ORD1041"/>
    <n v="45369"/>
    <s v="Customer 274"/>
    <x v="2"/>
    <x v="0"/>
    <x v="0"/>
    <n v="4"/>
    <n v="67"/>
    <n v="268"/>
    <n v="156.01"/>
    <n v="111.99"/>
    <x v="0"/>
  </r>
  <r>
    <s v="ORD1042"/>
    <n v="45571"/>
    <s v="Customer 159"/>
    <x v="1"/>
    <x v="1"/>
    <x v="3"/>
    <n v="4"/>
    <n v="95"/>
    <n v="380"/>
    <n v="289.8"/>
    <n v="90.2"/>
    <x v="1"/>
  </r>
  <r>
    <s v="ORD1043"/>
    <n v="45559"/>
    <s v="Customer 73"/>
    <x v="2"/>
    <x v="0"/>
    <x v="0"/>
    <n v="4"/>
    <n v="77"/>
    <n v="308"/>
    <n v="221.52"/>
    <n v="86.48"/>
    <x v="0"/>
  </r>
  <r>
    <s v="ORD1044"/>
    <n v="45301"/>
    <s v="Customer 103"/>
    <x v="3"/>
    <x v="1"/>
    <x v="6"/>
    <n v="2"/>
    <n v="72"/>
    <n v="144"/>
    <n v="92.95"/>
    <n v="51.05"/>
    <x v="3"/>
  </r>
  <r>
    <s v="ORD1045"/>
    <n v="45329"/>
    <s v="Customer 94"/>
    <x v="1"/>
    <x v="3"/>
    <x v="8"/>
    <n v="3"/>
    <n v="72"/>
    <n v="216"/>
    <n v="125.85"/>
    <n v="90.15"/>
    <x v="2"/>
  </r>
  <r>
    <s v="ORD1046"/>
    <n v="45506"/>
    <s v="Customer 146"/>
    <x v="2"/>
    <x v="3"/>
    <x v="10"/>
    <n v="3"/>
    <n v="73"/>
    <n v="219"/>
    <n v="167.67"/>
    <n v="51.33"/>
    <x v="3"/>
  </r>
  <r>
    <s v="ORD1047"/>
    <n v="45655"/>
    <s v="Customer 132"/>
    <x v="3"/>
    <x v="1"/>
    <x v="7"/>
    <n v="4"/>
    <n v="39"/>
    <n v="156"/>
    <n v="104.14"/>
    <n v="51.86"/>
    <x v="3"/>
  </r>
  <r>
    <s v="ORD1048"/>
    <n v="45595"/>
    <s v="Customer 292"/>
    <x v="3"/>
    <x v="0"/>
    <x v="2"/>
    <n v="1"/>
    <n v="61"/>
    <n v="61"/>
    <n v="40.729999999999997"/>
    <n v="20.27"/>
    <x v="0"/>
  </r>
  <r>
    <s v="ORD1049"/>
    <n v="45499"/>
    <s v="Customer 259"/>
    <x v="2"/>
    <x v="0"/>
    <x v="0"/>
    <n v="4"/>
    <n v="50"/>
    <n v="200"/>
    <n v="151.04"/>
    <n v="48.96"/>
    <x v="2"/>
  </r>
  <r>
    <s v="ORD1050"/>
    <n v="45399"/>
    <s v="Customer 94"/>
    <x v="3"/>
    <x v="2"/>
    <x v="4"/>
    <n v="1"/>
    <n v="28"/>
    <n v="28"/>
    <n v="18.48"/>
    <n v="9.52"/>
    <x v="1"/>
  </r>
  <r>
    <s v="ORD1051"/>
    <n v="45416"/>
    <s v="Customer 132"/>
    <x v="1"/>
    <x v="0"/>
    <x v="0"/>
    <n v="5"/>
    <n v="87"/>
    <n v="435"/>
    <n v="335.14"/>
    <n v="99.86"/>
    <x v="2"/>
  </r>
  <r>
    <s v="ORD1052"/>
    <n v="45472"/>
    <s v="Customer 267"/>
    <x v="1"/>
    <x v="0"/>
    <x v="1"/>
    <n v="1"/>
    <n v="13"/>
    <n v="13"/>
    <n v="8.66"/>
    <n v="4.34"/>
    <x v="3"/>
  </r>
  <r>
    <s v="ORD1053"/>
    <n v="45314"/>
    <s v="Customer 1"/>
    <x v="1"/>
    <x v="2"/>
    <x v="9"/>
    <n v="1"/>
    <n v="59"/>
    <n v="59"/>
    <n v="34"/>
    <n v="25"/>
    <x v="1"/>
  </r>
  <r>
    <s v="ORD1054"/>
    <n v="45364"/>
    <s v="Customer 295"/>
    <x v="1"/>
    <x v="3"/>
    <x v="8"/>
    <n v="3"/>
    <n v="55"/>
    <n v="165"/>
    <n v="107.96"/>
    <n v="57.04"/>
    <x v="2"/>
  </r>
  <r>
    <s v="ORD1055"/>
    <n v="45451"/>
    <s v="Customer 35"/>
    <x v="2"/>
    <x v="2"/>
    <x v="9"/>
    <n v="4"/>
    <n v="68"/>
    <n v="272"/>
    <n v="143.54"/>
    <n v="128.46"/>
    <x v="3"/>
  </r>
  <r>
    <s v="ORD1056"/>
    <n v="45326"/>
    <s v="Customer 233"/>
    <x v="2"/>
    <x v="3"/>
    <x v="5"/>
    <n v="1"/>
    <n v="99"/>
    <n v="99"/>
    <n v="62.23"/>
    <n v="36.770000000000003"/>
    <x v="1"/>
  </r>
  <r>
    <s v="ORD1057"/>
    <n v="45628"/>
    <s v="Customer 200"/>
    <x v="0"/>
    <x v="1"/>
    <x v="7"/>
    <n v="4"/>
    <n v="27"/>
    <n v="108"/>
    <n v="72.98"/>
    <n v="35.020000000000003"/>
    <x v="1"/>
  </r>
  <r>
    <s v="ORD1058"/>
    <n v="45296"/>
    <s v="Customer 215"/>
    <x v="0"/>
    <x v="1"/>
    <x v="7"/>
    <n v="4"/>
    <n v="51"/>
    <n v="204"/>
    <n v="111.81"/>
    <n v="92.19"/>
    <x v="1"/>
  </r>
  <r>
    <s v="ORD1059"/>
    <n v="45428"/>
    <s v="Customer 24"/>
    <x v="0"/>
    <x v="0"/>
    <x v="2"/>
    <n v="5"/>
    <n v="76"/>
    <n v="380"/>
    <n v="228.43"/>
    <n v="151.57"/>
    <x v="3"/>
  </r>
  <r>
    <s v="ORD1060"/>
    <n v="45294"/>
    <s v="Customer 183"/>
    <x v="2"/>
    <x v="0"/>
    <x v="2"/>
    <n v="5"/>
    <n v="13"/>
    <n v="65"/>
    <n v="44.73"/>
    <n v="20.27"/>
    <x v="1"/>
  </r>
  <r>
    <s v="ORD1061"/>
    <n v="45468"/>
    <s v="Customer 59"/>
    <x v="3"/>
    <x v="0"/>
    <x v="2"/>
    <n v="5"/>
    <n v="43"/>
    <n v="215"/>
    <n v="163.34"/>
    <n v="51.66"/>
    <x v="2"/>
  </r>
  <r>
    <s v="ORD1062"/>
    <n v="45618"/>
    <s v="Customer 209"/>
    <x v="3"/>
    <x v="1"/>
    <x v="3"/>
    <n v="3"/>
    <n v="82"/>
    <n v="246"/>
    <n v="157.61000000000001"/>
    <n v="88.39"/>
    <x v="2"/>
  </r>
  <r>
    <s v="ORD1063"/>
    <n v="45634"/>
    <s v="Customer 28"/>
    <x v="0"/>
    <x v="3"/>
    <x v="10"/>
    <n v="5"/>
    <n v="15"/>
    <n v="75"/>
    <n v="46.77"/>
    <n v="28.23"/>
    <x v="0"/>
  </r>
  <r>
    <s v="ORD1064"/>
    <n v="45481"/>
    <s v="Customer 187"/>
    <x v="1"/>
    <x v="3"/>
    <x v="10"/>
    <n v="1"/>
    <n v="65"/>
    <n v="65"/>
    <n v="38.35"/>
    <n v="26.65"/>
    <x v="3"/>
  </r>
  <r>
    <s v="ORD1065"/>
    <n v="45444"/>
    <s v="Customer 1"/>
    <x v="2"/>
    <x v="2"/>
    <x v="12"/>
    <n v="2"/>
    <n v="74"/>
    <n v="148"/>
    <n v="76.36"/>
    <n v="71.64"/>
    <x v="0"/>
  </r>
  <r>
    <s v="ORD1066"/>
    <n v="45307"/>
    <s v="Customer 214"/>
    <x v="1"/>
    <x v="3"/>
    <x v="5"/>
    <n v="1"/>
    <n v="36"/>
    <n v="36"/>
    <n v="18.54"/>
    <n v="17.46"/>
    <x v="0"/>
  </r>
  <r>
    <s v="ORD1067"/>
    <n v="45562"/>
    <s v="Customer 160"/>
    <x v="0"/>
    <x v="1"/>
    <x v="11"/>
    <n v="1"/>
    <n v="99"/>
    <n v="99"/>
    <n v="78.58"/>
    <n v="20.420000000000002"/>
    <x v="1"/>
  </r>
  <r>
    <s v="ORD1068"/>
    <n v="45432"/>
    <s v="Customer 21"/>
    <x v="2"/>
    <x v="2"/>
    <x v="9"/>
    <n v="1"/>
    <n v="82"/>
    <n v="82"/>
    <n v="61.27"/>
    <n v="20.73"/>
    <x v="3"/>
  </r>
  <r>
    <s v="ORD1069"/>
    <n v="45339"/>
    <s v="Customer 169"/>
    <x v="2"/>
    <x v="2"/>
    <x v="9"/>
    <n v="3"/>
    <n v="52"/>
    <n v="156"/>
    <n v="93.9"/>
    <n v="62.1"/>
    <x v="1"/>
  </r>
  <r>
    <s v="ORD1070"/>
    <n v="45360"/>
    <s v="Customer 202"/>
    <x v="3"/>
    <x v="0"/>
    <x v="2"/>
    <n v="4"/>
    <n v="30"/>
    <n v="120"/>
    <n v="63.16"/>
    <n v="56.84"/>
    <x v="1"/>
  </r>
  <r>
    <s v="ORD1071"/>
    <n v="45400"/>
    <s v="Customer 146"/>
    <x v="0"/>
    <x v="2"/>
    <x v="9"/>
    <n v="4"/>
    <n v="60"/>
    <n v="240"/>
    <n v="182.93"/>
    <n v="57.07"/>
    <x v="2"/>
  </r>
  <r>
    <s v="ORD1072"/>
    <n v="45326"/>
    <s v="Customer 126"/>
    <x v="3"/>
    <x v="1"/>
    <x v="6"/>
    <n v="2"/>
    <n v="37"/>
    <n v="74"/>
    <n v="58.61"/>
    <n v="15.39"/>
    <x v="3"/>
  </r>
  <r>
    <s v="ORD1073"/>
    <n v="45471"/>
    <s v="Customer 58"/>
    <x v="0"/>
    <x v="2"/>
    <x v="12"/>
    <n v="1"/>
    <n v="79"/>
    <n v="79"/>
    <n v="44.57"/>
    <n v="34.43"/>
    <x v="1"/>
  </r>
  <r>
    <s v="ORD1074"/>
    <n v="45503"/>
    <s v="Customer 86"/>
    <x v="3"/>
    <x v="1"/>
    <x v="3"/>
    <n v="2"/>
    <n v="19"/>
    <n v="38"/>
    <n v="22.18"/>
    <n v="15.82"/>
    <x v="0"/>
  </r>
  <r>
    <s v="ORD1075"/>
    <n v="45457"/>
    <s v="Customer 67"/>
    <x v="1"/>
    <x v="1"/>
    <x v="6"/>
    <n v="4"/>
    <n v="50"/>
    <n v="200"/>
    <n v="157"/>
    <n v="43"/>
    <x v="3"/>
  </r>
  <r>
    <s v="ORD1076"/>
    <n v="45581"/>
    <s v="Customer 220"/>
    <x v="3"/>
    <x v="0"/>
    <x v="2"/>
    <n v="5"/>
    <n v="94"/>
    <n v="470"/>
    <n v="287.87"/>
    <n v="182.13"/>
    <x v="1"/>
  </r>
  <r>
    <s v="ORD1077"/>
    <n v="45301"/>
    <s v="Customer 206"/>
    <x v="2"/>
    <x v="3"/>
    <x v="10"/>
    <n v="1"/>
    <n v="49"/>
    <n v="49"/>
    <n v="24.6"/>
    <n v="24.4"/>
    <x v="2"/>
  </r>
  <r>
    <s v="ORD1078"/>
    <n v="45461"/>
    <s v="Customer 58"/>
    <x v="2"/>
    <x v="1"/>
    <x v="3"/>
    <n v="3"/>
    <n v="53"/>
    <n v="159"/>
    <n v="104.45"/>
    <n v="54.55"/>
    <x v="3"/>
  </r>
  <r>
    <s v="ORD1079"/>
    <n v="45630"/>
    <s v="Customer 48"/>
    <x v="2"/>
    <x v="2"/>
    <x v="12"/>
    <n v="3"/>
    <n v="93"/>
    <n v="279"/>
    <n v="143.82"/>
    <n v="135.18"/>
    <x v="1"/>
  </r>
  <r>
    <s v="ORD1080"/>
    <n v="45531"/>
    <s v="Customer 273"/>
    <x v="1"/>
    <x v="3"/>
    <x v="8"/>
    <n v="1"/>
    <n v="68"/>
    <n v="68"/>
    <n v="40.64"/>
    <n v="27.36"/>
    <x v="2"/>
  </r>
  <r>
    <s v="ORD1081"/>
    <n v="45556"/>
    <s v="Customer 186"/>
    <x v="0"/>
    <x v="0"/>
    <x v="0"/>
    <n v="2"/>
    <n v="47"/>
    <n v="94"/>
    <n v="55.43"/>
    <n v="38.57"/>
    <x v="0"/>
  </r>
  <r>
    <s v="ORD1082"/>
    <n v="45319"/>
    <s v="Customer 86"/>
    <x v="0"/>
    <x v="2"/>
    <x v="12"/>
    <n v="2"/>
    <n v="70"/>
    <n v="140"/>
    <n v="110.48"/>
    <n v="29.52"/>
    <x v="3"/>
  </r>
  <r>
    <s v="ORD1083"/>
    <n v="45600"/>
    <s v="Customer 63"/>
    <x v="1"/>
    <x v="1"/>
    <x v="11"/>
    <n v="2"/>
    <n v="62"/>
    <n v="124"/>
    <n v="69.28"/>
    <n v="54.72"/>
    <x v="3"/>
  </r>
  <r>
    <s v="ORD1084"/>
    <n v="45344"/>
    <s v="Customer 54"/>
    <x v="0"/>
    <x v="3"/>
    <x v="5"/>
    <n v="2"/>
    <n v="92"/>
    <n v="184"/>
    <n v="123.64"/>
    <n v="60.36"/>
    <x v="2"/>
  </r>
  <r>
    <s v="ORD1085"/>
    <n v="45652"/>
    <s v="Customer 271"/>
    <x v="3"/>
    <x v="1"/>
    <x v="3"/>
    <n v="4"/>
    <n v="66"/>
    <n v="264"/>
    <n v="177.85"/>
    <n v="86.15"/>
    <x v="1"/>
  </r>
  <r>
    <s v="ORD1086"/>
    <n v="45485"/>
    <s v="Customer 73"/>
    <x v="2"/>
    <x v="1"/>
    <x v="6"/>
    <n v="1"/>
    <n v="36"/>
    <n v="36"/>
    <n v="24.72"/>
    <n v="11.28"/>
    <x v="3"/>
  </r>
  <r>
    <s v="ORD1087"/>
    <n v="45474"/>
    <s v="Customer 136"/>
    <x v="3"/>
    <x v="2"/>
    <x v="4"/>
    <n v="3"/>
    <n v="50"/>
    <n v="150"/>
    <n v="94.97"/>
    <n v="55.03"/>
    <x v="0"/>
  </r>
  <r>
    <s v="ORD1088"/>
    <n v="45538"/>
    <s v="Customer 97"/>
    <x v="3"/>
    <x v="2"/>
    <x v="9"/>
    <n v="1"/>
    <n v="68"/>
    <n v="68"/>
    <n v="44.26"/>
    <n v="23.74"/>
    <x v="2"/>
  </r>
  <r>
    <s v="ORD1089"/>
    <n v="45582"/>
    <s v="Customer 275"/>
    <x v="0"/>
    <x v="0"/>
    <x v="1"/>
    <n v="5"/>
    <n v="21"/>
    <n v="105"/>
    <n v="76.849999999999994"/>
    <n v="28.15"/>
    <x v="1"/>
  </r>
  <r>
    <s v="ORD1090"/>
    <n v="45321"/>
    <s v="Customer 178"/>
    <x v="2"/>
    <x v="1"/>
    <x v="11"/>
    <n v="4"/>
    <n v="13"/>
    <n v="52"/>
    <n v="27.92"/>
    <n v="24.08"/>
    <x v="3"/>
  </r>
  <r>
    <s v="ORD1091"/>
    <n v="45338"/>
    <s v="Customer 183"/>
    <x v="2"/>
    <x v="0"/>
    <x v="0"/>
    <n v="5"/>
    <n v="96"/>
    <n v="480"/>
    <n v="357.63"/>
    <n v="122.37"/>
    <x v="3"/>
  </r>
  <r>
    <s v="ORD1092"/>
    <n v="45419"/>
    <s v="Customer 148"/>
    <x v="2"/>
    <x v="1"/>
    <x v="7"/>
    <n v="3"/>
    <n v="29"/>
    <n v="87"/>
    <n v="45.35"/>
    <n v="41.65"/>
    <x v="0"/>
  </r>
  <r>
    <s v="ORD1093"/>
    <n v="45386"/>
    <s v="Customer 195"/>
    <x v="0"/>
    <x v="0"/>
    <x v="0"/>
    <n v="1"/>
    <n v="29"/>
    <n v="29"/>
    <n v="18.3"/>
    <n v="10.7"/>
    <x v="2"/>
  </r>
  <r>
    <s v="ORD1094"/>
    <n v="45477"/>
    <s v="Customer 38"/>
    <x v="0"/>
    <x v="3"/>
    <x v="10"/>
    <n v="5"/>
    <n v="82"/>
    <n v="410"/>
    <n v="282.67"/>
    <n v="127.33"/>
    <x v="1"/>
  </r>
  <r>
    <s v="ORD1095"/>
    <n v="45342"/>
    <s v="Customer 176"/>
    <x v="2"/>
    <x v="2"/>
    <x v="12"/>
    <n v="5"/>
    <n v="55"/>
    <n v="275"/>
    <n v="170.34"/>
    <n v="104.66"/>
    <x v="1"/>
  </r>
  <r>
    <s v="ORD1096"/>
    <n v="45566"/>
    <s v="Customer 253"/>
    <x v="0"/>
    <x v="2"/>
    <x v="12"/>
    <n v="2"/>
    <n v="30"/>
    <n v="60"/>
    <n v="32.799999999999997"/>
    <n v="27.2"/>
    <x v="0"/>
  </r>
  <r>
    <s v="ORD1097"/>
    <n v="45393"/>
    <s v="Customer 252"/>
    <x v="2"/>
    <x v="1"/>
    <x v="11"/>
    <n v="5"/>
    <n v="54"/>
    <n v="270"/>
    <n v="178.89"/>
    <n v="91.11"/>
    <x v="0"/>
  </r>
  <r>
    <s v="ORD1098"/>
    <n v="45604"/>
    <s v="Customer 67"/>
    <x v="1"/>
    <x v="2"/>
    <x v="4"/>
    <n v="4"/>
    <n v="22"/>
    <n v="88"/>
    <n v="62.95"/>
    <n v="25.05"/>
    <x v="2"/>
  </r>
  <r>
    <s v="ORD1099"/>
    <n v="45520"/>
    <s v="Customer 114"/>
    <x v="0"/>
    <x v="0"/>
    <x v="2"/>
    <n v="5"/>
    <n v="57"/>
    <n v="285"/>
    <n v="182.45"/>
    <n v="102.55"/>
    <x v="1"/>
  </r>
  <r>
    <s v="ORD1100"/>
    <n v="45512"/>
    <s v="Customer 61"/>
    <x v="2"/>
    <x v="2"/>
    <x v="9"/>
    <n v="1"/>
    <n v="44"/>
    <n v="44"/>
    <n v="25.72"/>
    <n v="18.28"/>
    <x v="1"/>
  </r>
  <r>
    <s v="ORD1101"/>
    <n v="45318"/>
    <s v="Customer 22"/>
    <x v="0"/>
    <x v="2"/>
    <x v="4"/>
    <n v="2"/>
    <n v="73"/>
    <n v="146"/>
    <n v="104.69"/>
    <n v="41.31"/>
    <x v="2"/>
  </r>
  <r>
    <s v="ORD1102"/>
    <n v="45390"/>
    <s v="Customer 206"/>
    <x v="2"/>
    <x v="1"/>
    <x v="6"/>
    <n v="5"/>
    <n v="48"/>
    <n v="240"/>
    <n v="155.18"/>
    <n v="84.82"/>
    <x v="1"/>
  </r>
  <r>
    <s v="ORD1103"/>
    <n v="45329"/>
    <s v="Customer 262"/>
    <x v="0"/>
    <x v="1"/>
    <x v="11"/>
    <n v="1"/>
    <n v="32"/>
    <n v="32"/>
    <n v="17.84"/>
    <n v="14.16"/>
    <x v="0"/>
  </r>
  <r>
    <s v="ORD1104"/>
    <n v="45383"/>
    <s v="Customer 17"/>
    <x v="3"/>
    <x v="2"/>
    <x v="4"/>
    <n v="3"/>
    <n v="35"/>
    <n v="105"/>
    <n v="72.87"/>
    <n v="32.130000000000003"/>
    <x v="3"/>
  </r>
  <r>
    <s v="ORD1105"/>
    <n v="45538"/>
    <s v="Customer 54"/>
    <x v="3"/>
    <x v="1"/>
    <x v="11"/>
    <n v="4"/>
    <n v="88"/>
    <n v="352"/>
    <n v="181.63"/>
    <n v="170.37"/>
    <x v="1"/>
  </r>
  <r>
    <s v="ORD1106"/>
    <n v="45424"/>
    <s v="Customer 235"/>
    <x v="0"/>
    <x v="0"/>
    <x v="1"/>
    <n v="3"/>
    <n v="40"/>
    <n v="120"/>
    <n v="88.67"/>
    <n v="31.33"/>
    <x v="1"/>
  </r>
  <r>
    <s v="ORD1107"/>
    <n v="45357"/>
    <s v="Customer 145"/>
    <x v="1"/>
    <x v="2"/>
    <x v="9"/>
    <n v="3"/>
    <n v="36"/>
    <n v="108"/>
    <n v="63.12"/>
    <n v="44.88"/>
    <x v="3"/>
  </r>
  <r>
    <s v="ORD1108"/>
    <n v="45407"/>
    <s v="Customer 144"/>
    <x v="3"/>
    <x v="2"/>
    <x v="12"/>
    <n v="5"/>
    <n v="49"/>
    <n v="245"/>
    <n v="152.43"/>
    <n v="92.57"/>
    <x v="3"/>
  </r>
  <r>
    <s v="ORD1109"/>
    <n v="45604"/>
    <s v="Customer 257"/>
    <x v="1"/>
    <x v="1"/>
    <x v="11"/>
    <n v="4"/>
    <n v="98"/>
    <n v="392"/>
    <n v="198.46"/>
    <n v="193.54"/>
    <x v="1"/>
  </r>
  <r>
    <s v="ORD1110"/>
    <n v="45628"/>
    <s v="Customer 150"/>
    <x v="0"/>
    <x v="3"/>
    <x v="5"/>
    <n v="3"/>
    <n v="31"/>
    <n v="93"/>
    <n v="51.56"/>
    <n v="41.44"/>
    <x v="1"/>
  </r>
  <r>
    <s v="ORD1111"/>
    <n v="45337"/>
    <s v="Customer 218"/>
    <x v="2"/>
    <x v="3"/>
    <x v="8"/>
    <n v="2"/>
    <n v="53"/>
    <n v="106"/>
    <n v="62.84"/>
    <n v="43.16"/>
    <x v="2"/>
  </r>
  <r>
    <s v="ORD1112"/>
    <n v="45542"/>
    <s v="Customer 235"/>
    <x v="1"/>
    <x v="3"/>
    <x v="8"/>
    <n v="2"/>
    <n v="24"/>
    <n v="48"/>
    <n v="28.01"/>
    <n v="19.989999999999998"/>
    <x v="0"/>
  </r>
  <r>
    <s v="ORD1113"/>
    <n v="45540"/>
    <s v="Customer 70"/>
    <x v="1"/>
    <x v="2"/>
    <x v="9"/>
    <n v="3"/>
    <n v="79"/>
    <n v="237"/>
    <n v="119.18"/>
    <n v="117.82"/>
    <x v="3"/>
  </r>
  <r>
    <s v="ORD1114"/>
    <n v="45548"/>
    <s v="Customer 109"/>
    <x v="1"/>
    <x v="2"/>
    <x v="12"/>
    <n v="1"/>
    <n v="59"/>
    <n v="59"/>
    <n v="42.29"/>
    <n v="16.71"/>
    <x v="1"/>
  </r>
  <r>
    <s v="ORD1115"/>
    <n v="45306"/>
    <s v="Customer 187"/>
    <x v="0"/>
    <x v="1"/>
    <x v="3"/>
    <n v="2"/>
    <n v="38"/>
    <n v="76"/>
    <n v="52.47"/>
    <n v="23.53"/>
    <x v="0"/>
  </r>
  <r>
    <s v="ORD1116"/>
    <n v="45395"/>
    <s v="Customer 3"/>
    <x v="3"/>
    <x v="2"/>
    <x v="4"/>
    <n v="5"/>
    <n v="14"/>
    <n v="70"/>
    <n v="50.75"/>
    <n v="19.25"/>
    <x v="1"/>
  </r>
  <r>
    <s v="ORD1117"/>
    <n v="45531"/>
    <s v="Customer 14"/>
    <x v="3"/>
    <x v="0"/>
    <x v="2"/>
    <n v="3"/>
    <n v="98"/>
    <n v="294"/>
    <n v="205.25"/>
    <n v="88.75"/>
    <x v="0"/>
  </r>
  <r>
    <s v="ORD1118"/>
    <n v="45607"/>
    <s v="Customer 298"/>
    <x v="1"/>
    <x v="2"/>
    <x v="12"/>
    <n v="1"/>
    <n v="76"/>
    <n v="76"/>
    <n v="43.69"/>
    <n v="32.31"/>
    <x v="3"/>
  </r>
  <r>
    <s v="ORD1119"/>
    <n v="45307"/>
    <s v="Customer 139"/>
    <x v="2"/>
    <x v="2"/>
    <x v="12"/>
    <n v="1"/>
    <n v="61"/>
    <n v="61"/>
    <n v="41.58"/>
    <n v="19.420000000000002"/>
    <x v="2"/>
  </r>
  <r>
    <s v="ORD1120"/>
    <n v="45475"/>
    <s v="Customer 167"/>
    <x v="0"/>
    <x v="1"/>
    <x v="6"/>
    <n v="2"/>
    <n v="85"/>
    <n v="170"/>
    <n v="135"/>
    <n v="35"/>
    <x v="0"/>
  </r>
  <r>
    <s v="ORD1121"/>
    <n v="45363"/>
    <s v="Customer 152"/>
    <x v="0"/>
    <x v="0"/>
    <x v="0"/>
    <n v="3"/>
    <n v="60"/>
    <n v="180"/>
    <n v="132.4"/>
    <n v="47.6"/>
    <x v="1"/>
  </r>
  <r>
    <s v="ORD1122"/>
    <n v="45293"/>
    <s v="Customer 172"/>
    <x v="0"/>
    <x v="3"/>
    <x v="10"/>
    <n v="5"/>
    <n v="58"/>
    <n v="290"/>
    <n v="200.69"/>
    <n v="89.31"/>
    <x v="0"/>
  </r>
  <r>
    <s v="ORD1123"/>
    <n v="45403"/>
    <s v="Customer 190"/>
    <x v="0"/>
    <x v="0"/>
    <x v="0"/>
    <n v="3"/>
    <n v="69"/>
    <n v="207"/>
    <n v="131.4"/>
    <n v="75.599999999999994"/>
    <x v="0"/>
  </r>
  <r>
    <s v="ORD1124"/>
    <n v="45540"/>
    <s v="Customer 216"/>
    <x v="0"/>
    <x v="1"/>
    <x v="3"/>
    <n v="3"/>
    <n v="64"/>
    <n v="192"/>
    <n v="153.43"/>
    <n v="38.57"/>
    <x v="3"/>
  </r>
  <r>
    <s v="ORD1125"/>
    <n v="45647"/>
    <s v="Customer 200"/>
    <x v="3"/>
    <x v="1"/>
    <x v="6"/>
    <n v="4"/>
    <n v="66"/>
    <n v="264"/>
    <n v="149.78"/>
    <n v="114.22"/>
    <x v="1"/>
  </r>
  <r>
    <s v="ORD1126"/>
    <n v="45387"/>
    <s v="Customer 51"/>
    <x v="0"/>
    <x v="1"/>
    <x v="6"/>
    <n v="4"/>
    <n v="19"/>
    <n v="76"/>
    <n v="54.61"/>
    <n v="21.39"/>
    <x v="1"/>
  </r>
  <r>
    <s v="ORD1127"/>
    <n v="45489"/>
    <s v="Customer 173"/>
    <x v="3"/>
    <x v="3"/>
    <x v="5"/>
    <n v="2"/>
    <n v="98"/>
    <n v="196"/>
    <n v="139.02000000000001"/>
    <n v="56.98"/>
    <x v="3"/>
  </r>
  <r>
    <s v="ORD1128"/>
    <n v="45334"/>
    <s v="Customer 102"/>
    <x v="0"/>
    <x v="0"/>
    <x v="1"/>
    <n v="1"/>
    <n v="53"/>
    <n v="53"/>
    <n v="35.47"/>
    <n v="17.53"/>
    <x v="0"/>
  </r>
  <r>
    <s v="ORD1129"/>
    <n v="45352"/>
    <s v="Customer 66"/>
    <x v="2"/>
    <x v="1"/>
    <x v="11"/>
    <n v="4"/>
    <n v="46"/>
    <n v="184"/>
    <n v="101.36"/>
    <n v="82.64"/>
    <x v="0"/>
  </r>
  <r>
    <s v="ORD1130"/>
    <n v="45655"/>
    <s v="Customer 26"/>
    <x v="0"/>
    <x v="1"/>
    <x v="6"/>
    <n v="3"/>
    <n v="84"/>
    <n v="252"/>
    <n v="161.1"/>
    <n v="90.9"/>
    <x v="2"/>
  </r>
  <r>
    <s v="ORD1131"/>
    <n v="45381"/>
    <s v="Customer 21"/>
    <x v="2"/>
    <x v="3"/>
    <x v="8"/>
    <n v="2"/>
    <n v="38"/>
    <n v="76"/>
    <n v="47.5"/>
    <n v="28.5"/>
    <x v="0"/>
  </r>
  <r>
    <s v="ORD1132"/>
    <n v="45441"/>
    <s v="Customer 150"/>
    <x v="3"/>
    <x v="0"/>
    <x v="0"/>
    <n v="3"/>
    <n v="22"/>
    <n v="66"/>
    <n v="50.3"/>
    <n v="15.7"/>
    <x v="0"/>
  </r>
  <r>
    <s v="ORD1133"/>
    <n v="45389"/>
    <s v="Customer 242"/>
    <x v="2"/>
    <x v="1"/>
    <x v="3"/>
    <n v="2"/>
    <n v="98"/>
    <n v="196"/>
    <n v="116.83"/>
    <n v="79.17"/>
    <x v="3"/>
  </r>
  <r>
    <s v="ORD1134"/>
    <n v="45507"/>
    <s v="Customer 150"/>
    <x v="2"/>
    <x v="2"/>
    <x v="12"/>
    <n v="4"/>
    <n v="67"/>
    <n v="268"/>
    <n v="212.24"/>
    <n v="55.76"/>
    <x v="3"/>
  </r>
  <r>
    <s v="ORD1135"/>
    <n v="45306"/>
    <s v="Customer 279"/>
    <x v="2"/>
    <x v="0"/>
    <x v="2"/>
    <n v="3"/>
    <n v="95"/>
    <n v="285"/>
    <n v="144.29"/>
    <n v="140.71"/>
    <x v="2"/>
  </r>
  <r>
    <s v="ORD1136"/>
    <n v="45585"/>
    <s v="Customer 156"/>
    <x v="3"/>
    <x v="1"/>
    <x v="7"/>
    <n v="3"/>
    <n v="37"/>
    <n v="111"/>
    <n v="86.27"/>
    <n v="24.73"/>
    <x v="0"/>
  </r>
  <r>
    <s v="ORD1137"/>
    <n v="45455"/>
    <s v="Customer 115"/>
    <x v="2"/>
    <x v="2"/>
    <x v="12"/>
    <n v="2"/>
    <n v="89"/>
    <n v="178"/>
    <n v="94.99"/>
    <n v="83.01"/>
    <x v="1"/>
  </r>
  <r>
    <s v="ORD1138"/>
    <n v="45597"/>
    <s v="Customer 68"/>
    <x v="1"/>
    <x v="1"/>
    <x v="3"/>
    <n v="3"/>
    <n v="47"/>
    <n v="141"/>
    <n v="75.14"/>
    <n v="65.86"/>
    <x v="1"/>
  </r>
  <r>
    <s v="ORD1139"/>
    <n v="45409"/>
    <s v="Customer 204"/>
    <x v="1"/>
    <x v="0"/>
    <x v="0"/>
    <n v="4"/>
    <n v="43"/>
    <n v="172"/>
    <n v="105.13"/>
    <n v="66.87"/>
    <x v="1"/>
  </r>
  <r>
    <s v="ORD1140"/>
    <n v="45578"/>
    <s v="Customer 13"/>
    <x v="1"/>
    <x v="3"/>
    <x v="10"/>
    <n v="5"/>
    <n v="66"/>
    <n v="330"/>
    <n v="190.38"/>
    <n v="139.62"/>
    <x v="2"/>
  </r>
  <r>
    <s v="ORD1141"/>
    <n v="45375"/>
    <s v="Customer 255"/>
    <x v="3"/>
    <x v="1"/>
    <x v="6"/>
    <n v="5"/>
    <n v="76"/>
    <n v="380"/>
    <n v="222.55"/>
    <n v="157.44999999999999"/>
    <x v="3"/>
  </r>
  <r>
    <s v="ORD1142"/>
    <n v="45376"/>
    <s v="Customer 136"/>
    <x v="1"/>
    <x v="1"/>
    <x v="6"/>
    <n v="4"/>
    <n v="67"/>
    <n v="268"/>
    <n v="201.45"/>
    <n v="66.55"/>
    <x v="3"/>
  </r>
  <r>
    <s v="ORD1143"/>
    <n v="45304"/>
    <s v="Customer 281"/>
    <x v="0"/>
    <x v="0"/>
    <x v="2"/>
    <n v="1"/>
    <n v="98"/>
    <n v="98"/>
    <n v="56.99"/>
    <n v="41.01"/>
    <x v="0"/>
  </r>
  <r>
    <s v="ORD1144"/>
    <n v="45320"/>
    <s v="Customer 14"/>
    <x v="3"/>
    <x v="2"/>
    <x v="12"/>
    <n v="3"/>
    <n v="61"/>
    <n v="183"/>
    <n v="92.49"/>
    <n v="90.51"/>
    <x v="0"/>
  </r>
  <r>
    <s v="ORD1145"/>
    <n v="45393"/>
    <s v="Customer 100"/>
    <x v="1"/>
    <x v="3"/>
    <x v="5"/>
    <n v="4"/>
    <n v="48"/>
    <n v="192"/>
    <n v="113.84"/>
    <n v="78.16"/>
    <x v="2"/>
  </r>
  <r>
    <s v="ORD1146"/>
    <n v="45508"/>
    <s v="Customer 97"/>
    <x v="3"/>
    <x v="1"/>
    <x v="11"/>
    <n v="5"/>
    <n v="11"/>
    <n v="55"/>
    <n v="41.41"/>
    <n v="13.59"/>
    <x v="0"/>
  </r>
  <r>
    <s v="ORD1147"/>
    <n v="45516"/>
    <s v="Customer 24"/>
    <x v="2"/>
    <x v="0"/>
    <x v="2"/>
    <n v="2"/>
    <n v="68"/>
    <n v="136"/>
    <n v="68.02"/>
    <n v="67.98"/>
    <x v="1"/>
  </r>
  <r>
    <s v="ORD1148"/>
    <n v="45297"/>
    <s v="Customer 169"/>
    <x v="0"/>
    <x v="2"/>
    <x v="4"/>
    <n v="3"/>
    <n v="83"/>
    <n v="249"/>
    <n v="142.38999999999999"/>
    <n v="106.61"/>
    <x v="2"/>
  </r>
  <r>
    <s v="ORD1149"/>
    <n v="45599"/>
    <s v="Customer 115"/>
    <x v="3"/>
    <x v="3"/>
    <x v="10"/>
    <n v="5"/>
    <n v="20"/>
    <n v="100"/>
    <n v="57.35"/>
    <n v="42.65"/>
    <x v="3"/>
  </r>
  <r>
    <s v="ORD1150"/>
    <n v="45649"/>
    <s v="Customer 45"/>
    <x v="2"/>
    <x v="0"/>
    <x v="0"/>
    <n v="4"/>
    <n v="75"/>
    <n v="300"/>
    <n v="159.19"/>
    <n v="140.81"/>
    <x v="1"/>
  </r>
  <r>
    <s v="ORD1151"/>
    <n v="45549"/>
    <s v="Customer 176"/>
    <x v="2"/>
    <x v="0"/>
    <x v="0"/>
    <n v="1"/>
    <n v="33"/>
    <n v="33"/>
    <n v="16.72"/>
    <n v="16.28"/>
    <x v="1"/>
  </r>
  <r>
    <s v="ORD1152"/>
    <n v="45589"/>
    <s v="Customer 183"/>
    <x v="3"/>
    <x v="3"/>
    <x v="10"/>
    <n v="3"/>
    <n v="15"/>
    <n v="45"/>
    <n v="32.64"/>
    <n v="12.36"/>
    <x v="3"/>
  </r>
  <r>
    <s v="ORD1153"/>
    <n v="45589"/>
    <s v="Customer 281"/>
    <x v="3"/>
    <x v="2"/>
    <x v="9"/>
    <n v="5"/>
    <n v="65"/>
    <n v="325"/>
    <n v="190.98"/>
    <n v="134.02000000000001"/>
    <x v="1"/>
  </r>
  <r>
    <s v="ORD1154"/>
    <n v="45627"/>
    <s v="Customer 256"/>
    <x v="0"/>
    <x v="3"/>
    <x v="5"/>
    <n v="5"/>
    <n v="89"/>
    <n v="445"/>
    <n v="333.21"/>
    <n v="111.79"/>
    <x v="3"/>
  </r>
  <r>
    <s v="ORD1155"/>
    <n v="45322"/>
    <s v="Customer 10"/>
    <x v="2"/>
    <x v="0"/>
    <x v="1"/>
    <n v="1"/>
    <n v="81"/>
    <n v="81"/>
    <n v="50.71"/>
    <n v="30.29"/>
    <x v="3"/>
  </r>
  <r>
    <s v="ORD1156"/>
    <n v="45424"/>
    <s v="Customer 37"/>
    <x v="2"/>
    <x v="1"/>
    <x v="6"/>
    <n v="2"/>
    <n v="57"/>
    <n v="114"/>
    <n v="61.9"/>
    <n v="52.1"/>
    <x v="1"/>
  </r>
  <r>
    <s v="ORD1157"/>
    <n v="45649"/>
    <s v="Customer 74"/>
    <x v="3"/>
    <x v="3"/>
    <x v="10"/>
    <n v="4"/>
    <n v="99"/>
    <n v="396"/>
    <n v="231.98"/>
    <n v="164.02"/>
    <x v="1"/>
  </r>
  <r>
    <s v="ORD1158"/>
    <n v="45501"/>
    <s v="Customer 200"/>
    <x v="1"/>
    <x v="0"/>
    <x v="0"/>
    <n v="2"/>
    <n v="100"/>
    <n v="200"/>
    <n v="145.58000000000001"/>
    <n v="54.42"/>
    <x v="1"/>
  </r>
  <r>
    <s v="ORD1159"/>
    <n v="45457"/>
    <s v="Customer 199"/>
    <x v="1"/>
    <x v="0"/>
    <x v="2"/>
    <n v="2"/>
    <n v="60"/>
    <n v="120"/>
    <n v="67.75"/>
    <n v="52.25"/>
    <x v="0"/>
  </r>
  <r>
    <s v="ORD1160"/>
    <n v="45605"/>
    <s v="Customer 215"/>
    <x v="0"/>
    <x v="3"/>
    <x v="10"/>
    <n v="3"/>
    <n v="72"/>
    <n v="216"/>
    <n v="172.13"/>
    <n v="43.87"/>
    <x v="1"/>
  </r>
  <r>
    <s v="ORD1161"/>
    <n v="45530"/>
    <s v="Customer 38"/>
    <x v="1"/>
    <x v="2"/>
    <x v="4"/>
    <n v="5"/>
    <n v="88"/>
    <n v="440"/>
    <n v="251.65"/>
    <n v="188.35"/>
    <x v="1"/>
  </r>
  <r>
    <s v="ORD1162"/>
    <n v="45545"/>
    <s v="Customer 15"/>
    <x v="0"/>
    <x v="1"/>
    <x v="11"/>
    <n v="1"/>
    <n v="41"/>
    <n v="41"/>
    <n v="32.29"/>
    <n v="8.7100000000000009"/>
    <x v="2"/>
  </r>
  <r>
    <s v="ORD1163"/>
    <n v="45643"/>
    <s v="Customer 219"/>
    <x v="3"/>
    <x v="2"/>
    <x v="4"/>
    <n v="3"/>
    <n v="13"/>
    <n v="39"/>
    <n v="28.36"/>
    <n v="10.64"/>
    <x v="3"/>
  </r>
  <r>
    <s v="ORD1164"/>
    <n v="45500"/>
    <s v="Customer 224"/>
    <x v="0"/>
    <x v="0"/>
    <x v="0"/>
    <n v="4"/>
    <n v="39"/>
    <n v="156"/>
    <n v="78.64"/>
    <n v="77.36"/>
    <x v="2"/>
  </r>
  <r>
    <s v="ORD1165"/>
    <n v="45463"/>
    <s v="Customer 3"/>
    <x v="2"/>
    <x v="1"/>
    <x v="6"/>
    <n v="1"/>
    <n v="67"/>
    <n v="67"/>
    <n v="45.75"/>
    <n v="21.25"/>
    <x v="0"/>
  </r>
  <r>
    <s v="ORD1166"/>
    <n v="45500"/>
    <s v="Customer 65"/>
    <x v="2"/>
    <x v="1"/>
    <x v="6"/>
    <n v="3"/>
    <n v="98"/>
    <n v="294"/>
    <n v="190.97"/>
    <n v="103.03"/>
    <x v="2"/>
  </r>
  <r>
    <s v="ORD1167"/>
    <n v="45490"/>
    <s v="Customer 228"/>
    <x v="3"/>
    <x v="2"/>
    <x v="4"/>
    <n v="2"/>
    <n v="24"/>
    <n v="48"/>
    <n v="29.21"/>
    <n v="18.79"/>
    <x v="0"/>
  </r>
  <r>
    <s v="ORD1168"/>
    <n v="45398"/>
    <s v="Customer 139"/>
    <x v="3"/>
    <x v="0"/>
    <x v="0"/>
    <n v="5"/>
    <n v="40"/>
    <n v="200"/>
    <n v="111.44"/>
    <n v="88.56"/>
    <x v="0"/>
  </r>
  <r>
    <s v="ORD1169"/>
    <n v="45585"/>
    <s v="Customer 171"/>
    <x v="3"/>
    <x v="3"/>
    <x v="10"/>
    <n v="4"/>
    <n v="51"/>
    <n v="204"/>
    <n v="139.22"/>
    <n v="64.78"/>
    <x v="3"/>
  </r>
  <r>
    <s v="ORD1170"/>
    <n v="45386"/>
    <s v="Customer 208"/>
    <x v="3"/>
    <x v="2"/>
    <x v="12"/>
    <n v="2"/>
    <n v="64"/>
    <n v="128"/>
    <n v="100.71"/>
    <n v="27.29"/>
    <x v="2"/>
  </r>
  <r>
    <s v="ORD1171"/>
    <n v="45443"/>
    <s v="Customer 206"/>
    <x v="1"/>
    <x v="0"/>
    <x v="1"/>
    <n v="2"/>
    <n v="87"/>
    <n v="174"/>
    <n v="123.99"/>
    <n v="50.01"/>
    <x v="0"/>
  </r>
  <r>
    <s v="ORD1172"/>
    <n v="45344"/>
    <s v="Customer 291"/>
    <x v="2"/>
    <x v="3"/>
    <x v="5"/>
    <n v="2"/>
    <n v="21"/>
    <n v="42"/>
    <n v="24.92"/>
    <n v="17.079999999999998"/>
    <x v="1"/>
  </r>
  <r>
    <s v="ORD1173"/>
    <n v="45344"/>
    <s v="Customer 55"/>
    <x v="1"/>
    <x v="3"/>
    <x v="5"/>
    <n v="1"/>
    <n v="89"/>
    <n v="89"/>
    <n v="61.67"/>
    <n v="27.33"/>
    <x v="2"/>
  </r>
  <r>
    <s v="ORD1174"/>
    <n v="45595"/>
    <s v="Customer 151"/>
    <x v="1"/>
    <x v="0"/>
    <x v="1"/>
    <n v="5"/>
    <n v="93"/>
    <n v="465"/>
    <n v="297.42"/>
    <n v="167.58"/>
    <x v="2"/>
  </r>
  <r>
    <s v="ORD1175"/>
    <n v="45531"/>
    <s v="Customer 53"/>
    <x v="0"/>
    <x v="0"/>
    <x v="1"/>
    <n v="5"/>
    <n v="38"/>
    <n v="190"/>
    <n v="144.22999999999999"/>
    <n v="45.77"/>
    <x v="1"/>
  </r>
  <r>
    <s v="ORD1176"/>
    <n v="45427"/>
    <s v="Customer 209"/>
    <x v="0"/>
    <x v="0"/>
    <x v="1"/>
    <n v="5"/>
    <n v="86"/>
    <n v="430"/>
    <n v="215.68"/>
    <n v="214.32"/>
    <x v="0"/>
  </r>
  <r>
    <s v="ORD1177"/>
    <n v="45452"/>
    <s v="Customer 279"/>
    <x v="0"/>
    <x v="3"/>
    <x v="10"/>
    <n v="1"/>
    <n v="99"/>
    <n v="99"/>
    <n v="52.68"/>
    <n v="46.32"/>
    <x v="3"/>
  </r>
  <r>
    <s v="ORD1178"/>
    <n v="45565"/>
    <s v="Customer 132"/>
    <x v="2"/>
    <x v="2"/>
    <x v="12"/>
    <n v="3"/>
    <n v="61"/>
    <n v="183"/>
    <n v="138.88999999999999"/>
    <n v="44.11"/>
    <x v="3"/>
  </r>
  <r>
    <s v="ORD1179"/>
    <n v="45542"/>
    <s v="Customer 46"/>
    <x v="2"/>
    <x v="3"/>
    <x v="10"/>
    <n v="2"/>
    <n v="16"/>
    <n v="32"/>
    <n v="16.059999999999999"/>
    <n v="15.94"/>
    <x v="0"/>
  </r>
  <r>
    <s v="ORD1180"/>
    <n v="45549"/>
    <s v="Customer 87"/>
    <x v="3"/>
    <x v="1"/>
    <x v="11"/>
    <n v="3"/>
    <n v="84"/>
    <n v="252"/>
    <n v="194.45"/>
    <n v="57.55"/>
    <x v="3"/>
  </r>
  <r>
    <s v="ORD1181"/>
    <n v="45514"/>
    <s v="Customer 300"/>
    <x v="2"/>
    <x v="0"/>
    <x v="2"/>
    <n v="4"/>
    <n v="32"/>
    <n v="128"/>
    <n v="100.92"/>
    <n v="27.08"/>
    <x v="3"/>
  </r>
  <r>
    <s v="ORD1182"/>
    <n v="45524"/>
    <s v="Customer 280"/>
    <x v="2"/>
    <x v="2"/>
    <x v="9"/>
    <n v="5"/>
    <n v="63"/>
    <n v="315"/>
    <n v="163.16"/>
    <n v="151.84"/>
    <x v="0"/>
  </r>
  <r>
    <s v="ORD1183"/>
    <n v="45415"/>
    <s v="Customer 295"/>
    <x v="0"/>
    <x v="0"/>
    <x v="1"/>
    <n v="2"/>
    <n v="93"/>
    <n v="186"/>
    <n v="95.48"/>
    <n v="90.52"/>
    <x v="1"/>
  </r>
  <r>
    <s v="ORD1184"/>
    <n v="45501"/>
    <s v="Customer 133"/>
    <x v="3"/>
    <x v="3"/>
    <x v="10"/>
    <n v="4"/>
    <n v="77"/>
    <n v="308"/>
    <n v="218.64"/>
    <n v="89.36"/>
    <x v="0"/>
  </r>
  <r>
    <s v="ORD1185"/>
    <n v="45564"/>
    <s v="Customer 6"/>
    <x v="1"/>
    <x v="2"/>
    <x v="4"/>
    <n v="2"/>
    <n v="99"/>
    <n v="198"/>
    <n v="124.59"/>
    <n v="73.41"/>
    <x v="2"/>
  </r>
  <r>
    <s v="ORD1186"/>
    <n v="45654"/>
    <s v="Customer 296"/>
    <x v="1"/>
    <x v="3"/>
    <x v="5"/>
    <n v="5"/>
    <n v="23"/>
    <n v="115"/>
    <n v="89.92"/>
    <n v="25.08"/>
    <x v="1"/>
  </r>
  <r>
    <s v="ORD1187"/>
    <n v="45633"/>
    <s v="Customer 79"/>
    <x v="3"/>
    <x v="1"/>
    <x v="11"/>
    <n v="4"/>
    <n v="60"/>
    <n v="240"/>
    <n v="135.24"/>
    <n v="104.76"/>
    <x v="1"/>
  </r>
  <r>
    <s v="ORD1188"/>
    <n v="45340"/>
    <s v="Customer 43"/>
    <x v="2"/>
    <x v="2"/>
    <x v="9"/>
    <n v="2"/>
    <n v="15"/>
    <n v="30"/>
    <n v="20.28"/>
    <n v="9.7200000000000006"/>
    <x v="3"/>
  </r>
  <r>
    <s v="ORD1189"/>
    <n v="45460"/>
    <s v="Customer 59"/>
    <x v="2"/>
    <x v="2"/>
    <x v="4"/>
    <n v="4"/>
    <n v="97"/>
    <n v="388"/>
    <n v="251.24"/>
    <n v="136.76"/>
    <x v="0"/>
  </r>
  <r>
    <s v="ORD1190"/>
    <n v="45634"/>
    <s v="Customer 103"/>
    <x v="3"/>
    <x v="3"/>
    <x v="8"/>
    <n v="3"/>
    <n v="21"/>
    <n v="63"/>
    <n v="41.45"/>
    <n v="21.55"/>
    <x v="2"/>
  </r>
  <r>
    <s v="ORD1191"/>
    <n v="45641"/>
    <s v="Customer 165"/>
    <x v="3"/>
    <x v="2"/>
    <x v="4"/>
    <n v="3"/>
    <n v="56"/>
    <n v="168"/>
    <n v="117.6"/>
    <n v="50.4"/>
    <x v="3"/>
  </r>
  <r>
    <s v="ORD1192"/>
    <n v="45372"/>
    <s v="Customer 81"/>
    <x v="2"/>
    <x v="0"/>
    <x v="0"/>
    <n v="2"/>
    <n v="23"/>
    <n v="46"/>
    <n v="32.24"/>
    <n v="13.76"/>
    <x v="1"/>
  </r>
  <r>
    <s v="ORD1193"/>
    <n v="45447"/>
    <s v="Customer 78"/>
    <x v="1"/>
    <x v="3"/>
    <x v="8"/>
    <n v="1"/>
    <n v="47"/>
    <n v="47"/>
    <n v="27.23"/>
    <n v="19.77"/>
    <x v="2"/>
  </r>
  <r>
    <s v="ORD1194"/>
    <n v="45388"/>
    <s v="Customer 188"/>
    <x v="3"/>
    <x v="3"/>
    <x v="10"/>
    <n v="5"/>
    <n v="34"/>
    <n v="170"/>
    <n v="105.03"/>
    <n v="64.97"/>
    <x v="0"/>
  </r>
  <r>
    <s v="ORD1195"/>
    <n v="45568"/>
    <s v="Customer 65"/>
    <x v="1"/>
    <x v="0"/>
    <x v="2"/>
    <n v="5"/>
    <n v="92"/>
    <n v="460"/>
    <n v="267.85000000000002"/>
    <n v="192.15"/>
    <x v="3"/>
  </r>
  <r>
    <s v="ORD1196"/>
    <n v="45534"/>
    <s v="Customer 145"/>
    <x v="2"/>
    <x v="0"/>
    <x v="1"/>
    <n v="2"/>
    <n v="35"/>
    <n v="70"/>
    <n v="45.89"/>
    <n v="24.11"/>
    <x v="1"/>
  </r>
  <r>
    <s v="ORD1197"/>
    <n v="45651"/>
    <s v="Customer 124"/>
    <x v="0"/>
    <x v="1"/>
    <x v="7"/>
    <n v="4"/>
    <n v="13"/>
    <n v="52"/>
    <n v="32.82"/>
    <n v="19.18"/>
    <x v="1"/>
  </r>
  <r>
    <s v="ORD1198"/>
    <n v="45474"/>
    <s v="Customer 32"/>
    <x v="2"/>
    <x v="2"/>
    <x v="4"/>
    <n v="2"/>
    <n v="71"/>
    <n v="142"/>
    <n v="88.32"/>
    <n v="53.68"/>
    <x v="1"/>
  </r>
  <r>
    <s v="ORD1199"/>
    <n v="45606"/>
    <s v="Customer 263"/>
    <x v="0"/>
    <x v="1"/>
    <x v="7"/>
    <n v="3"/>
    <n v="21"/>
    <n v="63"/>
    <n v="44.77"/>
    <n v="18.23"/>
    <x v="0"/>
  </r>
  <r>
    <s v="ORD1200"/>
    <n v="45531"/>
    <s v="Customer 80"/>
    <x v="3"/>
    <x v="1"/>
    <x v="6"/>
    <n v="2"/>
    <n v="60"/>
    <n v="120"/>
    <n v="90.86"/>
    <n v="29.1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6" firstHeaderRow="1" firstDataRow="1" firstDataCol="1"/>
  <pivotFields count="12">
    <pivotField showAll="0"/>
    <pivotField showAll="0"/>
    <pivotField showAll="0"/>
    <pivotField axis="axisRow" showAll="0">
      <items count="5">
        <item x="0"/>
        <item x="3"/>
        <item x="2"/>
        <item x="1"/>
        <item t="default"/>
      </items>
    </pivotField>
    <pivotField showAll="0">
      <items count="5">
        <item x="3"/>
        <item x="2"/>
        <item x="1"/>
        <item x="0"/>
        <item t="default"/>
      </items>
    </pivotField>
    <pivotField showAll="0">
      <items count="14">
        <item x="8"/>
        <item x="2"/>
        <item x="11"/>
        <item x="12"/>
        <item x="4"/>
        <item x="3"/>
        <item x="1"/>
        <item x="6"/>
        <item x="0"/>
        <item x="9"/>
        <item x="7"/>
        <item x="10"/>
        <item x="5"/>
        <item t="default"/>
      </items>
    </pivotField>
    <pivotField showAll="0"/>
    <pivotField numFmtId="164" showAll="0"/>
    <pivotField numFmtId="164" showAll="0"/>
    <pivotField numFmtId="164" showAll="0"/>
    <pivotField dataField="1" numFmtId="164" showAll="0"/>
    <pivotField showAll="0">
      <items count="5">
        <item x="0"/>
        <item x="2"/>
        <item x="3"/>
        <item x="1"/>
        <item t="default"/>
      </items>
    </pivotField>
  </pivotFields>
  <rowFields count="1">
    <field x="3"/>
  </rowFields>
  <rowItems count="5">
    <i>
      <x/>
    </i>
    <i>
      <x v="1"/>
    </i>
    <i>
      <x v="2"/>
    </i>
    <i>
      <x v="3"/>
    </i>
    <i t="grand">
      <x/>
    </i>
  </rowItems>
  <colItems count="1">
    <i/>
  </colItems>
  <dataFields count="1">
    <dataField name="Sum of Profit" fld="10" showDataAs="percentOfCol" baseField="0" baseItem="0" numFmtId="1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6" firstHeaderRow="1" firstDataRow="1" firstDataCol="1"/>
  <pivotFields count="12">
    <pivotField showAll="0"/>
    <pivotField showAll="0"/>
    <pivotField showAll="0"/>
    <pivotField axis="axisRow" showAll="0">
      <items count="5">
        <item x="0"/>
        <item x="3"/>
        <item x="2"/>
        <item x="1"/>
        <item t="default"/>
      </items>
    </pivotField>
    <pivotField showAll="0">
      <items count="5">
        <item x="3"/>
        <item x="2"/>
        <item x="1"/>
        <item x="0"/>
        <item t="default"/>
      </items>
    </pivotField>
    <pivotField showAll="0">
      <items count="14">
        <item x="8"/>
        <item x="2"/>
        <item x="11"/>
        <item x="12"/>
        <item x="4"/>
        <item x="3"/>
        <item x="1"/>
        <item x="6"/>
        <item x="0"/>
        <item x="9"/>
        <item x="7"/>
        <item x="10"/>
        <item x="5"/>
        <item t="default"/>
      </items>
    </pivotField>
    <pivotField showAll="0"/>
    <pivotField numFmtId="164" showAll="0"/>
    <pivotField numFmtId="164" showAll="0"/>
    <pivotField dataField="1" numFmtId="164" showAll="0"/>
    <pivotField numFmtId="164" showAll="0"/>
    <pivotField showAll="0">
      <items count="5">
        <item x="0"/>
        <item x="2"/>
        <item x="3"/>
        <item x="1"/>
        <item t="default"/>
      </items>
    </pivotField>
  </pivotFields>
  <rowFields count="1">
    <field x="3"/>
  </rowFields>
  <rowItems count="5">
    <i>
      <x/>
    </i>
    <i>
      <x v="1"/>
    </i>
    <i>
      <x v="2"/>
    </i>
    <i>
      <x v="3"/>
    </i>
    <i t="grand">
      <x/>
    </i>
  </rowItems>
  <colItems count="1">
    <i/>
  </colItems>
  <dataFields count="1">
    <dataField name="Sum of Cost" fld="9" showDataAs="percentOfCol" baseField="0" baseItem="0" numFmtId="10"/>
  </dataFields>
  <formats count="2">
    <format dxfId="0">
      <pivotArea collapsedLevelsAreSubtotals="1" fieldPosition="0">
        <references count="1">
          <reference field="3" count="0"/>
        </references>
      </pivotArea>
    </format>
    <format dxfId="1">
      <pivotArea outline="0" fieldPosition="0">
        <references count="1">
          <reference field="4294967294" count="1">
            <x v="0"/>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6" firstHeaderRow="1" firstDataRow="1" firstDataCol="1"/>
  <pivotFields count="12">
    <pivotField showAll="0"/>
    <pivotField showAll="0"/>
    <pivotField showAll="0"/>
    <pivotField axis="axisRow" showAll="0">
      <items count="5">
        <item x="0"/>
        <item x="3"/>
        <item x="2"/>
        <item x="1"/>
        <item t="default"/>
      </items>
    </pivotField>
    <pivotField showAll="0">
      <items count="5">
        <item x="3"/>
        <item x="2"/>
        <item x="1"/>
        <item x="0"/>
        <item t="default"/>
      </items>
    </pivotField>
    <pivotField showAll="0">
      <items count="14">
        <item x="8"/>
        <item x="2"/>
        <item x="11"/>
        <item x="12"/>
        <item x="4"/>
        <item x="3"/>
        <item x="1"/>
        <item x="6"/>
        <item x="0"/>
        <item x="9"/>
        <item x="7"/>
        <item x="10"/>
        <item x="5"/>
        <item t="default"/>
      </items>
    </pivotField>
    <pivotField showAll="0"/>
    <pivotField numFmtId="164" showAll="0"/>
    <pivotField dataField="1" numFmtId="164" showAll="0"/>
    <pivotField numFmtId="164" showAll="0"/>
    <pivotField numFmtId="164" showAll="0"/>
    <pivotField showAll="0">
      <items count="5">
        <item x="0"/>
        <item x="2"/>
        <item x="3"/>
        <item x="1"/>
        <item t="default"/>
      </items>
    </pivotField>
  </pivotFields>
  <rowFields count="1">
    <field x="3"/>
  </rowFields>
  <rowItems count="5">
    <i>
      <x/>
    </i>
    <i>
      <x v="1"/>
    </i>
    <i>
      <x v="2"/>
    </i>
    <i>
      <x v="3"/>
    </i>
    <i t="grand">
      <x/>
    </i>
  </rowItems>
  <colItems count="1">
    <i/>
  </colItems>
  <dataFields count="1">
    <dataField name="Sum of Total Sales" fld="8" showDataAs="percentOfCol" baseField="0" baseItem="0" numFmtId="1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3"/>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6" firstHeaderRow="1" firstDataRow="1" firstDataCol="1"/>
  <pivotFields count="12">
    <pivotField showAll="0"/>
    <pivotField showAll="0"/>
    <pivotField showAll="0"/>
    <pivotField axis="axisRow" showAll="0">
      <items count="5">
        <item x="0"/>
        <item x="3"/>
        <item x="2"/>
        <item x="1"/>
        <item t="default"/>
      </items>
    </pivotField>
    <pivotField showAll="0">
      <items count="5">
        <item x="3"/>
        <item x="2"/>
        <item x="1"/>
        <item x="0"/>
        <item t="default"/>
      </items>
    </pivotField>
    <pivotField showAll="0">
      <items count="14">
        <item x="8"/>
        <item x="2"/>
        <item x="11"/>
        <item x="12"/>
        <item x="4"/>
        <item x="3"/>
        <item x="1"/>
        <item x="6"/>
        <item x="0"/>
        <item x="9"/>
        <item x="7"/>
        <item x="10"/>
        <item x="5"/>
        <item t="default"/>
      </items>
    </pivotField>
    <pivotField dataField="1" showAll="0"/>
    <pivotField numFmtId="164" showAll="0"/>
    <pivotField numFmtId="164" showAll="0"/>
    <pivotField numFmtId="164" showAll="0"/>
    <pivotField numFmtId="164" showAll="0"/>
    <pivotField showAll="0">
      <items count="5">
        <item x="0"/>
        <item x="2"/>
        <item x="3"/>
        <item x="1"/>
        <item t="default"/>
      </items>
    </pivotField>
  </pivotFields>
  <rowFields count="1">
    <field x="3"/>
  </rowFields>
  <rowItems count="5">
    <i>
      <x/>
    </i>
    <i>
      <x v="1"/>
    </i>
    <i>
      <x v="2"/>
    </i>
    <i>
      <x v="3"/>
    </i>
    <i t="grand">
      <x/>
    </i>
  </rowItems>
  <colItems count="1">
    <i/>
  </colItems>
  <dataFields count="1">
    <dataField name="Sum of Quantity" fld="6" showDataAs="percentOfCol" baseField="0" baseItem="0" numFmtId="1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1:B6" firstHeaderRow="1" firstDataRow="1" firstDataCol="1"/>
  <pivotFields count="12">
    <pivotField showAll="0"/>
    <pivotField showAll="0"/>
    <pivotField showAll="0"/>
    <pivotField showAll="0">
      <items count="5">
        <item x="0"/>
        <item x="3"/>
        <item x="2"/>
        <item x="1"/>
        <item t="default"/>
      </items>
    </pivotField>
    <pivotField showAll="0">
      <items count="5">
        <item x="3"/>
        <item x="2"/>
        <item x="1"/>
        <item x="0"/>
        <item t="default"/>
      </items>
    </pivotField>
    <pivotField showAll="0">
      <items count="14">
        <item x="8"/>
        <item x="2"/>
        <item x="11"/>
        <item x="12"/>
        <item x="4"/>
        <item x="3"/>
        <item x="1"/>
        <item x="6"/>
        <item x="0"/>
        <item x="9"/>
        <item x="7"/>
        <item x="10"/>
        <item x="5"/>
        <item t="default"/>
      </items>
    </pivotField>
    <pivotField showAll="0"/>
    <pivotField numFmtId="164" showAll="0"/>
    <pivotField dataField="1" numFmtId="164" showAll="0"/>
    <pivotField numFmtId="164" showAll="0"/>
    <pivotField numFmtId="164" showAll="0"/>
    <pivotField axis="axisRow" showAll="0">
      <items count="5">
        <item x="0"/>
        <item x="2"/>
        <item x="3"/>
        <item x="1"/>
        <item t="default"/>
      </items>
    </pivotField>
  </pivotFields>
  <rowFields count="1">
    <field x="11"/>
  </rowFields>
  <rowItems count="5">
    <i>
      <x/>
    </i>
    <i>
      <x v="1"/>
    </i>
    <i>
      <x v="2"/>
    </i>
    <i>
      <x v="3"/>
    </i>
    <i t="grand">
      <x/>
    </i>
  </rowItems>
  <colItems count="1">
    <i/>
  </colItems>
  <dataFields count="1">
    <dataField name="Sum of Total Sales" fld="8" showDataAs="percentOfCol" baseField="0" baseItem="0" numFmtId="1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5" name="PivotTable2"/>
    <pivotTable tabId="4" name="PivotTable1"/>
    <pivotTable tabId="6" name="PivotTable3"/>
    <pivotTable tabId="7" name="PivotTable4"/>
    <pivotTable tabId="9" name="PivotTable5"/>
  </pivotTables>
  <data>
    <tabular pivotCacheId="1">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Name" sourceName="Product Name">
  <pivotTables>
    <pivotTable tabId="5" name="PivotTable2"/>
    <pivotTable tabId="4" name="PivotTable1"/>
    <pivotTable tabId="6" name="PivotTable3"/>
    <pivotTable tabId="7" name="PivotTable4"/>
    <pivotTable tabId="9" name="PivotTable5"/>
  </pivotTables>
  <data>
    <tabular pivotCacheId="1">
      <items count="13">
        <i x="8" s="1"/>
        <i x="2" s="1"/>
        <i x="11" s="1"/>
        <i x="12" s="1"/>
        <i x="4" s="1"/>
        <i x="3" s="1"/>
        <i x="1" s="1"/>
        <i x="6" s="1"/>
        <i x="0" s="1"/>
        <i x="9" s="1"/>
        <i x="7" s="1"/>
        <i x="1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5" name="PivotTable2"/>
    <pivotTable tabId="4" name="PivotTable1"/>
    <pivotTable tabId="6" name="PivotTable3"/>
    <pivotTable tabId="7" name="PivotTable4"/>
    <pivotTable tabId="9" name="PivotTable5"/>
  </pivotTables>
  <data>
    <tabular pivotCacheId="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columnCount="4" rowHeight="365760"/>
  <slicer name="Product Name" cache="Slicer_Product_Name" caption="Product Name" columnCount="6" style="SlicerStyleOther2" rowHeight="274320"/>
  <slicer name="Payment Method" cache="Slicer_Payment_Method" caption="Payment Method" columnCount="4" rowHeight="274320"/>
</slicers>
</file>

<file path=xl/tables/table1.xml><?xml version="1.0" encoding="utf-8"?>
<table xmlns="http://schemas.openxmlformats.org/spreadsheetml/2006/main" id="1" name="Table1" displayName="Table1" ref="A1:L1201" totalsRowShown="0" headerRowDxfId="6">
  <autoFilter ref="A1:L1201"/>
  <tableColumns count="12">
    <tableColumn id="1" name="Order ID"/>
    <tableColumn id="2" name="Order Date"/>
    <tableColumn id="3" name="Customer Name"/>
    <tableColumn id="4" name="Region"/>
    <tableColumn id="5" name="Product Category"/>
    <tableColumn id="6" name="Product Name"/>
    <tableColumn id="7" name="Quantity"/>
    <tableColumn id="8" name="Unit Price" dataDxfId="5" dataCellStyle="Currency"/>
    <tableColumn id="9" name="Total Sales" dataDxfId="4" dataCellStyle="Currency"/>
    <tableColumn id="10" name="Cost" dataDxfId="3" dataCellStyle="Currency"/>
    <tableColumn id="11" name="Profit" dataDxfId="2" dataCellStyle="Currency"/>
    <tableColumn id="12" name="Payment Method"/>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L6" sqref="L6"/>
    </sheetView>
  </sheetViews>
  <sheetFormatPr defaultRowHeight="14.5" x14ac:dyDescent="0.35"/>
  <cols>
    <col min="1" max="1" width="12.36328125" bestFit="1" customWidth="1"/>
    <col min="2" max="2" width="11.81640625" bestFit="1" customWidth="1"/>
  </cols>
  <sheetData>
    <row r="1" spans="1:2" x14ac:dyDescent="0.35">
      <c r="A1" s="4" t="s">
        <v>1530</v>
      </c>
      <c r="B1" t="s">
        <v>1531</v>
      </c>
    </row>
    <row r="2" spans="1:2" x14ac:dyDescent="0.35">
      <c r="A2" s="5" t="s">
        <v>14</v>
      </c>
      <c r="B2" s="6">
        <v>0.24002453426426493</v>
      </c>
    </row>
    <row r="3" spans="1:2" x14ac:dyDescent="0.35">
      <c r="A3" s="5" t="s">
        <v>42</v>
      </c>
      <c r="B3" s="6">
        <v>0.25835541834562442</v>
      </c>
    </row>
    <row r="4" spans="1:2" x14ac:dyDescent="0.35">
      <c r="A4" s="5" t="s">
        <v>28</v>
      </c>
      <c r="B4" s="6">
        <v>0.27001941408250035</v>
      </c>
    </row>
    <row r="5" spans="1:2" x14ac:dyDescent="0.35">
      <c r="A5" s="5" t="s">
        <v>24</v>
      </c>
      <c r="B5" s="6">
        <v>0.23160063330761013</v>
      </c>
    </row>
    <row r="6" spans="1:2" x14ac:dyDescent="0.35">
      <c r="A6" s="5" t="s">
        <v>1532</v>
      </c>
      <c r="B6"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14" sqref="B14"/>
    </sheetView>
  </sheetViews>
  <sheetFormatPr defaultRowHeight="14.5" x14ac:dyDescent="0.35"/>
  <cols>
    <col min="1" max="1" width="12.36328125" bestFit="1" customWidth="1"/>
    <col min="2" max="2" width="10.81640625" customWidth="1"/>
  </cols>
  <sheetData>
    <row r="1" spans="1:2" x14ac:dyDescent="0.35">
      <c r="A1" s="4" t="s">
        <v>1530</v>
      </c>
      <c r="B1" t="s">
        <v>1533</v>
      </c>
    </row>
    <row r="2" spans="1:2" x14ac:dyDescent="0.35">
      <c r="A2" s="5" t="s">
        <v>14</v>
      </c>
      <c r="B2" s="6">
        <v>0.23572459402179483</v>
      </c>
    </row>
    <row r="3" spans="1:2" x14ac:dyDescent="0.35">
      <c r="A3" s="5" t="s">
        <v>42</v>
      </c>
      <c r="B3" s="6">
        <v>0.26595176043258384</v>
      </c>
    </row>
    <row r="4" spans="1:2" x14ac:dyDescent="0.35">
      <c r="A4" s="5" t="s">
        <v>28</v>
      </c>
      <c r="B4" s="6">
        <v>0.26862004963628783</v>
      </c>
    </row>
    <row r="5" spans="1:2" x14ac:dyDescent="0.35">
      <c r="A5" s="5" t="s">
        <v>24</v>
      </c>
      <c r="B5" s="6">
        <v>0.22970359590933345</v>
      </c>
    </row>
    <row r="6" spans="1:2" x14ac:dyDescent="0.35">
      <c r="A6" s="5" t="s">
        <v>1532</v>
      </c>
      <c r="B6"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12" sqref="B12"/>
    </sheetView>
  </sheetViews>
  <sheetFormatPr defaultRowHeight="14.5" x14ac:dyDescent="0.35"/>
  <cols>
    <col min="1" max="1" width="12.36328125" bestFit="1" customWidth="1"/>
    <col min="2" max="2" width="16.08984375" bestFit="1" customWidth="1"/>
  </cols>
  <sheetData>
    <row r="1" spans="1:2" x14ac:dyDescent="0.35">
      <c r="A1" s="4" t="s">
        <v>1530</v>
      </c>
      <c r="B1" t="s">
        <v>1534</v>
      </c>
    </row>
    <row r="2" spans="1:2" x14ac:dyDescent="0.35">
      <c r="A2" s="5" t="s">
        <v>14</v>
      </c>
      <c r="B2" s="6">
        <v>0.23723973523369937</v>
      </c>
    </row>
    <row r="3" spans="1:2" x14ac:dyDescent="0.35">
      <c r="A3" s="5" t="s">
        <v>42</v>
      </c>
      <c r="B3" s="6">
        <v>0.26327508812862976</v>
      </c>
    </row>
    <row r="4" spans="1:2" x14ac:dyDescent="0.35">
      <c r="A4" s="5" t="s">
        <v>28</v>
      </c>
      <c r="B4" s="6">
        <v>0.26911313433592859</v>
      </c>
    </row>
    <row r="5" spans="1:2" x14ac:dyDescent="0.35">
      <c r="A5" s="5" t="s">
        <v>24</v>
      </c>
      <c r="B5" s="6">
        <v>0.2303720423017423</v>
      </c>
    </row>
    <row r="6" spans="1:2" x14ac:dyDescent="0.35">
      <c r="A6" s="5" t="s">
        <v>1532</v>
      </c>
      <c r="B6" s="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9" sqref="B9"/>
    </sheetView>
  </sheetViews>
  <sheetFormatPr defaultRowHeight="14.5" x14ac:dyDescent="0.35"/>
  <cols>
    <col min="1" max="1" width="12.36328125" bestFit="1" customWidth="1"/>
    <col min="2" max="2" width="14.54296875" customWidth="1"/>
  </cols>
  <sheetData>
    <row r="1" spans="1:2" x14ac:dyDescent="0.35">
      <c r="A1" s="4" t="s">
        <v>1530</v>
      </c>
      <c r="B1" t="s">
        <v>1535</v>
      </c>
    </row>
    <row r="2" spans="1:2" x14ac:dyDescent="0.35">
      <c r="A2" s="5" t="s">
        <v>14</v>
      </c>
      <c r="B2" s="6">
        <v>0.23657111049262455</v>
      </c>
    </row>
    <row r="3" spans="1:2" x14ac:dyDescent="0.35">
      <c r="A3" s="5" t="s">
        <v>42</v>
      </c>
      <c r="B3" s="6">
        <v>0.25939326468132479</v>
      </c>
    </row>
    <row r="4" spans="1:2" x14ac:dyDescent="0.35">
      <c r="A4" s="5" t="s">
        <v>28</v>
      </c>
      <c r="B4" s="6">
        <v>0.27581408293904813</v>
      </c>
    </row>
    <row r="5" spans="1:2" x14ac:dyDescent="0.35">
      <c r="A5" s="5" t="s">
        <v>24</v>
      </c>
      <c r="B5" s="6">
        <v>0.2282215418870025</v>
      </c>
    </row>
    <row r="6" spans="1:2" x14ac:dyDescent="0.35">
      <c r="A6" s="5" t="s">
        <v>1532</v>
      </c>
      <c r="B6" s="6">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9" sqref="B9"/>
    </sheetView>
  </sheetViews>
  <sheetFormatPr defaultRowHeight="14.5" x14ac:dyDescent="0.35"/>
  <cols>
    <col min="1" max="1" width="12.36328125" bestFit="1" customWidth="1"/>
    <col min="2" max="2" width="16.08984375" customWidth="1"/>
  </cols>
  <sheetData>
    <row r="1" spans="1:2" x14ac:dyDescent="0.35">
      <c r="A1" s="4" t="s">
        <v>1530</v>
      </c>
      <c r="B1" t="s">
        <v>1534</v>
      </c>
    </row>
    <row r="2" spans="1:2" x14ac:dyDescent="0.35">
      <c r="A2" s="5" t="s">
        <v>17</v>
      </c>
      <c r="B2" s="6">
        <v>0.2499404022216023</v>
      </c>
    </row>
    <row r="3" spans="1:2" x14ac:dyDescent="0.35">
      <c r="A3" s="5" t="s">
        <v>35</v>
      </c>
      <c r="B3" s="6">
        <v>0.22168344703405948</v>
      </c>
    </row>
    <row r="4" spans="1:2" x14ac:dyDescent="0.35">
      <c r="A4" s="5" t="s">
        <v>44</v>
      </c>
      <c r="B4" s="6">
        <v>0.24863685932388221</v>
      </c>
    </row>
    <row r="5" spans="1:2" x14ac:dyDescent="0.35">
      <c r="A5" s="5" t="s">
        <v>21</v>
      </c>
      <c r="B5" s="6">
        <v>0.279739291420456</v>
      </c>
    </row>
    <row r="6" spans="1:2" x14ac:dyDescent="0.35">
      <c r="A6" s="5" t="s">
        <v>1532</v>
      </c>
      <c r="B6" s="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201"/>
  <sheetViews>
    <sheetView workbookViewId="0">
      <selection activeCell="E1" sqref="E1"/>
    </sheetView>
  </sheetViews>
  <sheetFormatPr defaultRowHeight="14.5" x14ac:dyDescent="0.35"/>
  <cols>
    <col min="1" max="1" width="12.26953125" bestFit="1" customWidth="1"/>
    <col min="2" max="2" width="15.08984375" bestFit="1" customWidth="1"/>
    <col min="3" max="3" width="20.54296875" bestFit="1" customWidth="1"/>
    <col min="4" max="4" width="10.54296875" bestFit="1" customWidth="1"/>
    <col min="5" max="5" width="21.81640625" bestFit="1" customWidth="1"/>
    <col min="6" max="6" width="18.54296875" bestFit="1" customWidth="1"/>
    <col min="7" max="7" width="12.6328125" bestFit="1" customWidth="1"/>
    <col min="8" max="8" width="13.81640625" style="2" bestFit="1" customWidth="1"/>
    <col min="9" max="9" width="14.81640625" style="2" bestFit="1" customWidth="1"/>
    <col min="10" max="11" width="9.6328125" style="2" bestFit="1" customWidth="1"/>
    <col min="12" max="12" width="21.90625" bestFit="1" customWidth="1"/>
  </cols>
  <sheetData>
    <row r="1" spans="1:12" ht="18.5" x14ac:dyDescent="0.45">
      <c r="A1" s="1" t="s">
        <v>0</v>
      </c>
      <c r="B1" s="1" t="s">
        <v>1</v>
      </c>
      <c r="C1" s="1" t="s">
        <v>2</v>
      </c>
      <c r="D1" s="1" t="s">
        <v>3</v>
      </c>
      <c r="E1" s="1" t="s">
        <v>4</v>
      </c>
      <c r="F1" s="1" t="s">
        <v>5</v>
      </c>
      <c r="G1" s="1" t="s">
        <v>6</v>
      </c>
      <c r="H1" s="3" t="s">
        <v>7</v>
      </c>
      <c r="I1" s="3" t="s">
        <v>8</v>
      </c>
      <c r="J1" s="3" t="s">
        <v>9</v>
      </c>
      <c r="K1" s="3" t="s">
        <v>10</v>
      </c>
      <c r="L1" s="1" t="s">
        <v>11</v>
      </c>
    </row>
    <row r="2" spans="1:12" x14ac:dyDescent="0.35">
      <c r="A2" t="s">
        <v>12</v>
      </c>
      <c r="B2">
        <v>45521</v>
      </c>
      <c r="C2" t="s">
        <v>13</v>
      </c>
      <c r="D2" t="s">
        <v>14</v>
      </c>
      <c r="E2" t="s">
        <v>15</v>
      </c>
      <c r="F2" t="s">
        <v>16</v>
      </c>
      <c r="G2">
        <v>4</v>
      </c>
      <c r="H2" s="2">
        <v>73</v>
      </c>
      <c r="I2" s="2">
        <v>292</v>
      </c>
      <c r="J2" s="2">
        <v>222.12</v>
      </c>
      <c r="K2" s="2">
        <v>69.88</v>
      </c>
      <c r="L2" t="s">
        <v>17</v>
      </c>
    </row>
    <row r="3" spans="1:12" x14ac:dyDescent="0.35">
      <c r="A3" t="s">
        <v>18</v>
      </c>
      <c r="B3">
        <v>45417</v>
      </c>
      <c r="C3" t="s">
        <v>19</v>
      </c>
      <c r="D3" t="s">
        <v>14</v>
      </c>
      <c r="E3" t="s">
        <v>15</v>
      </c>
      <c r="F3" t="s">
        <v>20</v>
      </c>
      <c r="G3">
        <v>5</v>
      </c>
      <c r="H3" s="2">
        <v>47</v>
      </c>
      <c r="I3" s="2">
        <v>235</v>
      </c>
      <c r="J3" s="2">
        <v>132.80000000000001</v>
      </c>
      <c r="K3" s="2">
        <v>102.2</v>
      </c>
      <c r="L3" t="s">
        <v>21</v>
      </c>
    </row>
    <row r="4" spans="1:12" x14ac:dyDescent="0.35">
      <c r="A4" t="s">
        <v>22</v>
      </c>
      <c r="B4">
        <v>45615</v>
      </c>
      <c r="C4" t="s">
        <v>23</v>
      </c>
      <c r="D4" t="s">
        <v>24</v>
      </c>
      <c r="E4" t="s">
        <v>15</v>
      </c>
      <c r="F4" t="s">
        <v>25</v>
      </c>
      <c r="G4">
        <v>4</v>
      </c>
      <c r="H4" s="2">
        <v>51</v>
      </c>
      <c r="I4" s="2">
        <v>204</v>
      </c>
      <c r="J4" s="2">
        <v>124.82</v>
      </c>
      <c r="K4" s="2">
        <v>79.180000000000007</v>
      </c>
      <c r="L4" t="s">
        <v>21</v>
      </c>
    </row>
    <row r="5" spans="1:12" x14ac:dyDescent="0.35">
      <c r="A5" t="s">
        <v>26</v>
      </c>
      <c r="B5">
        <v>45655</v>
      </c>
      <c r="C5" t="s">
        <v>27</v>
      </c>
      <c r="D5" t="s">
        <v>28</v>
      </c>
      <c r="E5" t="s">
        <v>29</v>
      </c>
      <c r="F5" t="s">
        <v>30</v>
      </c>
      <c r="G5">
        <v>3</v>
      </c>
      <c r="H5" s="2">
        <v>31</v>
      </c>
      <c r="I5" s="2">
        <v>93</v>
      </c>
      <c r="J5" s="2">
        <v>64.41</v>
      </c>
      <c r="K5" s="2">
        <v>28.59</v>
      </c>
      <c r="L5" t="s">
        <v>17</v>
      </c>
    </row>
    <row r="6" spans="1:12" x14ac:dyDescent="0.35">
      <c r="A6" t="s">
        <v>31</v>
      </c>
      <c r="B6">
        <v>45458</v>
      </c>
      <c r="C6" t="s">
        <v>32</v>
      </c>
      <c r="D6" t="s">
        <v>14</v>
      </c>
      <c r="E6" t="s">
        <v>33</v>
      </c>
      <c r="F6" t="s">
        <v>34</v>
      </c>
      <c r="G6">
        <v>2</v>
      </c>
      <c r="H6" s="2">
        <v>58</v>
      </c>
      <c r="I6" s="2">
        <v>116</v>
      </c>
      <c r="J6" s="2">
        <v>66.72</v>
      </c>
      <c r="K6" s="2">
        <v>49.28</v>
      </c>
      <c r="L6" t="s">
        <v>35</v>
      </c>
    </row>
    <row r="7" spans="1:12" x14ac:dyDescent="0.35">
      <c r="A7" t="s">
        <v>36</v>
      </c>
      <c r="B7">
        <v>45631</v>
      </c>
      <c r="C7" t="s">
        <v>37</v>
      </c>
      <c r="D7" t="s">
        <v>28</v>
      </c>
      <c r="E7" t="s">
        <v>38</v>
      </c>
      <c r="F7" t="s">
        <v>39</v>
      </c>
      <c r="G7">
        <v>4</v>
      </c>
      <c r="H7" s="2">
        <v>79</v>
      </c>
      <c r="I7" s="2">
        <v>316</v>
      </c>
      <c r="J7" s="2">
        <v>211.44</v>
      </c>
      <c r="K7" s="2">
        <v>104.56</v>
      </c>
      <c r="L7" t="s">
        <v>21</v>
      </c>
    </row>
    <row r="8" spans="1:12" x14ac:dyDescent="0.35">
      <c r="A8" t="s">
        <v>40</v>
      </c>
      <c r="B8">
        <v>45362</v>
      </c>
      <c r="C8" t="s">
        <v>41</v>
      </c>
      <c r="D8" t="s">
        <v>42</v>
      </c>
      <c r="E8" t="s">
        <v>29</v>
      </c>
      <c r="F8" t="s">
        <v>43</v>
      </c>
      <c r="G8">
        <v>5</v>
      </c>
      <c r="H8" s="2">
        <v>97</v>
      </c>
      <c r="I8" s="2">
        <v>485</v>
      </c>
      <c r="J8" s="2">
        <v>356.63</v>
      </c>
      <c r="K8" s="2">
        <v>128.37</v>
      </c>
      <c r="L8" t="s">
        <v>44</v>
      </c>
    </row>
    <row r="9" spans="1:12" x14ac:dyDescent="0.35">
      <c r="A9" t="s">
        <v>45</v>
      </c>
      <c r="B9">
        <v>45420</v>
      </c>
      <c r="C9" t="s">
        <v>46</v>
      </c>
      <c r="D9" t="s">
        <v>14</v>
      </c>
      <c r="E9" t="s">
        <v>29</v>
      </c>
      <c r="F9" t="s">
        <v>47</v>
      </c>
      <c r="G9">
        <v>3</v>
      </c>
      <c r="H9" s="2">
        <v>38</v>
      </c>
      <c r="I9" s="2">
        <v>114</v>
      </c>
      <c r="J9" s="2">
        <v>66.790000000000006</v>
      </c>
      <c r="K9" s="2">
        <v>47.21</v>
      </c>
      <c r="L9" t="s">
        <v>35</v>
      </c>
    </row>
    <row r="10" spans="1:12" x14ac:dyDescent="0.35">
      <c r="A10" t="s">
        <v>48</v>
      </c>
      <c r="B10">
        <v>45393</v>
      </c>
      <c r="C10" t="s">
        <v>49</v>
      </c>
      <c r="D10" t="s">
        <v>14</v>
      </c>
      <c r="E10" t="s">
        <v>29</v>
      </c>
      <c r="F10" t="s">
        <v>43</v>
      </c>
      <c r="G10">
        <v>3</v>
      </c>
      <c r="H10" s="2">
        <v>83</v>
      </c>
      <c r="I10" s="2">
        <v>249</v>
      </c>
      <c r="J10" s="2">
        <v>151.93</v>
      </c>
      <c r="K10" s="2">
        <v>97.07</v>
      </c>
      <c r="L10" t="s">
        <v>35</v>
      </c>
    </row>
    <row r="11" spans="1:12" x14ac:dyDescent="0.35">
      <c r="A11" t="s">
        <v>50</v>
      </c>
      <c r="B11">
        <v>45503</v>
      </c>
      <c r="C11" t="s">
        <v>51</v>
      </c>
      <c r="D11" t="s">
        <v>24</v>
      </c>
      <c r="E11" t="s">
        <v>38</v>
      </c>
      <c r="F11" t="s">
        <v>52</v>
      </c>
      <c r="G11">
        <v>4</v>
      </c>
      <c r="H11" s="2">
        <v>51</v>
      </c>
      <c r="I11" s="2">
        <v>204</v>
      </c>
      <c r="J11" s="2">
        <v>154.74</v>
      </c>
      <c r="K11" s="2">
        <v>49.26</v>
      </c>
      <c r="L11" t="s">
        <v>35</v>
      </c>
    </row>
    <row r="12" spans="1:12" x14ac:dyDescent="0.35">
      <c r="A12" t="s">
        <v>53</v>
      </c>
      <c r="B12">
        <v>45514</v>
      </c>
      <c r="C12" t="s">
        <v>54</v>
      </c>
      <c r="D12" t="s">
        <v>14</v>
      </c>
      <c r="E12" t="s">
        <v>33</v>
      </c>
      <c r="F12" t="s">
        <v>55</v>
      </c>
      <c r="G12">
        <v>1</v>
      </c>
      <c r="H12" s="2">
        <v>78</v>
      </c>
      <c r="I12" s="2">
        <v>78</v>
      </c>
      <c r="J12" s="2">
        <v>44.99</v>
      </c>
      <c r="K12" s="2">
        <v>33.01</v>
      </c>
      <c r="L12" t="s">
        <v>44</v>
      </c>
    </row>
    <row r="13" spans="1:12" x14ac:dyDescent="0.35">
      <c r="A13" t="s">
        <v>56</v>
      </c>
      <c r="B13">
        <v>45376</v>
      </c>
      <c r="C13" t="s">
        <v>54</v>
      </c>
      <c r="D13" t="s">
        <v>14</v>
      </c>
      <c r="E13" t="s">
        <v>38</v>
      </c>
      <c r="F13" t="s">
        <v>39</v>
      </c>
      <c r="G13">
        <v>1</v>
      </c>
      <c r="H13" s="2">
        <v>57</v>
      </c>
      <c r="I13" s="2">
        <v>57</v>
      </c>
      <c r="J13" s="2">
        <v>30.82</v>
      </c>
      <c r="K13" s="2">
        <v>26.18</v>
      </c>
      <c r="L13" t="s">
        <v>21</v>
      </c>
    </row>
    <row r="14" spans="1:12" x14ac:dyDescent="0.35">
      <c r="A14" t="s">
        <v>57</v>
      </c>
      <c r="B14">
        <v>45523</v>
      </c>
      <c r="C14" t="s">
        <v>51</v>
      </c>
      <c r="D14" t="s">
        <v>28</v>
      </c>
      <c r="E14" t="s">
        <v>38</v>
      </c>
      <c r="F14" t="s">
        <v>58</v>
      </c>
      <c r="G14">
        <v>1</v>
      </c>
      <c r="H14" s="2">
        <v>68</v>
      </c>
      <c r="I14" s="2">
        <v>68</v>
      </c>
      <c r="J14" s="2">
        <v>45.76</v>
      </c>
      <c r="K14" s="2">
        <v>22.24</v>
      </c>
      <c r="L14" t="s">
        <v>17</v>
      </c>
    </row>
    <row r="15" spans="1:12" x14ac:dyDescent="0.35">
      <c r="A15" t="s">
        <v>59</v>
      </c>
      <c r="B15">
        <v>45476</v>
      </c>
      <c r="C15" t="s">
        <v>60</v>
      </c>
      <c r="D15" t="s">
        <v>14</v>
      </c>
      <c r="E15" t="s">
        <v>15</v>
      </c>
      <c r="F15" t="s">
        <v>16</v>
      </c>
      <c r="G15">
        <v>5</v>
      </c>
      <c r="H15" s="2">
        <v>44</v>
      </c>
      <c r="I15" s="2">
        <v>220</v>
      </c>
      <c r="J15" s="2">
        <v>111.85</v>
      </c>
      <c r="K15" s="2">
        <v>108.15</v>
      </c>
      <c r="L15" t="s">
        <v>21</v>
      </c>
    </row>
    <row r="16" spans="1:12" x14ac:dyDescent="0.35">
      <c r="A16" t="s">
        <v>61</v>
      </c>
      <c r="B16">
        <v>45623</v>
      </c>
      <c r="C16" t="s">
        <v>62</v>
      </c>
      <c r="D16" t="s">
        <v>42</v>
      </c>
      <c r="E16" t="s">
        <v>15</v>
      </c>
      <c r="F16" t="s">
        <v>16</v>
      </c>
      <c r="G16">
        <v>1</v>
      </c>
      <c r="H16" s="2">
        <v>69</v>
      </c>
      <c r="I16" s="2">
        <v>69</v>
      </c>
      <c r="J16" s="2">
        <v>43.1</v>
      </c>
      <c r="K16" s="2">
        <v>25.9</v>
      </c>
      <c r="L16" t="s">
        <v>35</v>
      </c>
    </row>
    <row r="17" spans="1:12" x14ac:dyDescent="0.35">
      <c r="A17" t="s">
        <v>63</v>
      </c>
      <c r="B17">
        <v>45642</v>
      </c>
      <c r="C17" t="s">
        <v>64</v>
      </c>
      <c r="D17" t="s">
        <v>14</v>
      </c>
      <c r="E17" t="s">
        <v>15</v>
      </c>
      <c r="F17" t="s">
        <v>25</v>
      </c>
      <c r="G17">
        <v>5</v>
      </c>
      <c r="H17" s="2">
        <v>12</v>
      </c>
      <c r="I17" s="2">
        <v>60</v>
      </c>
      <c r="J17" s="2">
        <v>38.56</v>
      </c>
      <c r="K17" s="2">
        <v>21.44</v>
      </c>
      <c r="L17" t="s">
        <v>35</v>
      </c>
    </row>
    <row r="18" spans="1:12" x14ac:dyDescent="0.35">
      <c r="A18" t="s">
        <v>65</v>
      </c>
      <c r="B18">
        <v>45456</v>
      </c>
      <c r="C18" t="s">
        <v>66</v>
      </c>
      <c r="D18" t="s">
        <v>14</v>
      </c>
      <c r="E18" t="s">
        <v>15</v>
      </c>
      <c r="F18" t="s">
        <v>20</v>
      </c>
      <c r="G18">
        <v>4</v>
      </c>
      <c r="H18" s="2">
        <v>14</v>
      </c>
      <c r="I18" s="2">
        <v>56</v>
      </c>
      <c r="J18" s="2">
        <v>43.12</v>
      </c>
      <c r="K18" s="2">
        <v>12.88</v>
      </c>
      <c r="L18" t="s">
        <v>35</v>
      </c>
    </row>
    <row r="19" spans="1:12" x14ac:dyDescent="0.35">
      <c r="A19" t="s">
        <v>67</v>
      </c>
      <c r="B19">
        <v>45636</v>
      </c>
      <c r="C19" t="s">
        <v>68</v>
      </c>
      <c r="D19" t="s">
        <v>24</v>
      </c>
      <c r="E19" t="s">
        <v>29</v>
      </c>
      <c r="F19" t="s">
        <v>30</v>
      </c>
      <c r="G19">
        <v>5</v>
      </c>
      <c r="H19" s="2">
        <v>23</v>
      </c>
      <c r="I19" s="2">
        <v>115</v>
      </c>
      <c r="J19" s="2">
        <v>85.99</v>
      </c>
      <c r="K19" s="2">
        <v>29.01</v>
      </c>
      <c r="L19" t="s">
        <v>21</v>
      </c>
    </row>
    <row r="20" spans="1:12" x14ac:dyDescent="0.35">
      <c r="A20" t="s">
        <v>69</v>
      </c>
      <c r="B20">
        <v>45501</v>
      </c>
      <c r="C20" t="s">
        <v>70</v>
      </c>
      <c r="D20" t="s">
        <v>28</v>
      </c>
      <c r="E20" t="s">
        <v>29</v>
      </c>
      <c r="F20" t="s">
        <v>30</v>
      </c>
      <c r="G20">
        <v>1</v>
      </c>
      <c r="H20" s="2">
        <v>55</v>
      </c>
      <c r="I20" s="2">
        <v>55</v>
      </c>
      <c r="J20" s="2">
        <v>40.020000000000003</v>
      </c>
      <c r="K20" s="2">
        <v>14.98</v>
      </c>
      <c r="L20" t="s">
        <v>21</v>
      </c>
    </row>
    <row r="21" spans="1:12" x14ac:dyDescent="0.35">
      <c r="A21" t="s">
        <v>71</v>
      </c>
      <c r="B21">
        <v>45415</v>
      </c>
      <c r="C21" t="s">
        <v>72</v>
      </c>
      <c r="D21" t="s">
        <v>24</v>
      </c>
      <c r="E21" t="s">
        <v>29</v>
      </c>
      <c r="F21" t="s">
        <v>30</v>
      </c>
      <c r="G21">
        <v>3</v>
      </c>
      <c r="H21" s="2">
        <v>86</v>
      </c>
      <c r="I21" s="2">
        <v>258</v>
      </c>
      <c r="J21" s="2">
        <v>166.57</v>
      </c>
      <c r="K21" s="2">
        <v>91.43</v>
      </c>
      <c r="L21" t="s">
        <v>44</v>
      </c>
    </row>
    <row r="22" spans="1:12" x14ac:dyDescent="0.35">
      <c r="A22" t="s">
        <v>73</v>
      </c>
      <c r="B22">
        <v>45636</v>
      </c>
      <c r="C22" t="s">
        <v>74</v>
      </c>
      <c r="D22" t="s">
        <v>14</v>
      </c>
      <c r="E22" t="s">
        <v>29</v>
      </c>
      <c r="F22" t="s">
        <v>75</v>
      </c>
      <c r="G22">
        <v>2</v>
      </c>
      <c r="H22" s="2">
        <v>80</v>
      </c>
      <c r="I22" s="2">
        <v>160</v>
      </c>
      <c r="J22" s="2">
        <v>86.51</v>
      </c>
      <c r="K22" s="2">
        <v>73.489999999999995</v>
      </c>
      <c r="L22" t="s">
        <v>21</v>
      </c>
    </row>
    <row r="23" spans="1:12" x14ac:dyDescent="0.35">
      <c r="A23" t="s">
        <v>76</v>
      </c>
      <c r="B23">
        <v>45380</v>
      </c>
      <c r="C23" t="s">
        <v>77</v>
      </c>
      <c r="D23" t="s">
        <v>42</v>
      </c>
      <c r="E23" t="s">
        <v>33</v>
      </c>
      <c r="F23" t="s">
        <v>55</v>
      </c>
      <c r="G23">
        <v>3</v>
      </c>
      <c r="H23" s="2">
        <v>65</v>
      </c>
      <c r="I23" s="2">
        <v>195</v>
      </c>
      <c r="J23" s="2">
        <v>155.87</v>
      </c>
      <c r="K23" s="2">
        <v>39.130000000000003</v>
      </c>
      <c r="L23" t="s">
        <v>21</v>
      </c>
    </row>
    <row r="24" spans="1:12" x14ac:dyDescent="0.35">
      <c r="A24" t="s">
        <v>78</v>
      </c>
      <c r="B24">
        <v>45610</v>
      </c>
      <c r="C24" t="s">
        <v>79</v>
      </c>
      <c r="D24" t="s">
        <v>28</v>
      </c>
      <c r="E24" t="s">
        <v>33</v>
      </c>
      <c r="F24" t="s">
        <v>55</v>
      </c>
      <c r="G24">
        <v>2</v>
      </c>
      <c r="H24" s="2">
        <v>15</v>
      </c>
      <c r="I24" s="2">
        <v>30</v>
      </c>
      <c r="J24" s="2">
        <v>21.75</v>
      </c>
      <c r="K24" s="2">
        <v>8.25</v>
      </c>
      <c r="L24" t="s">
        <v>35</v>
      </c>
    </row>
    <row r="25" spans="1:12" x14ac:dyDescent="0.35">
      <c r="A25" t="s">
        <v>80</v>
      </c>
      <c r="B25">
        <v>45407</v>
      </c>
      <c r="C25" t="s">
        <v>81</v>
      </c>
      <c r="D25" t="s">
        <v>24</v>
      </c>
      <c r="E25" t="s">
        <v>38</v>
      </c>
      <c r="F25" t="s">
        <v>52</v>
      </c>
      <c r="G25">
        <v>5</v>
      </c>
      <c r="H25" s="2">
        <v>12</v>
      </c>
      <c r="I25" s="2">
        <v>60</v>
      </c>
      <c r="J25" s="2">
        <v>43.36</v>
      </c>
      <c r="K25" s="2">
        <v>16.64</v>
      </c>
      <c r="L25" t="s">
        <v>35</v>
      </c>
    </row>
    <row r="26" spans="1:12" x14ac:dyDescent="0.35">
      <c r="A26" t="s">
        <v>82</v>
      </c>
      <c r="B26">
        <v>45614</v>
      </c>
      <c r="C26" t="s">
        <v>83</v>
      </c>
      <c r="D26" t="s">
        <v>14</v>
      </c>
      <c r="E26" t="s">
        <v>15</v>
      </c>
      <c r="F26" t="s">
        <v>16</v>
      </c>
      <c r="G26">
        <v>3</v>
      </c>
      <c r="H26" s="2">
        <v>42</v>
      </c>
      <c r="I26" s="2">
        <v>126</v>
      </c>
      <c r="J26" s="2">
        <v>67.55</v>
      </c>
      <c r="K26" s="2">
        <v>58.45</v>
      </c>
      <c r="L26" t="s">
        <v>35</v>
      </c>
    </row>
    <row r="27" spans="1:12" x14ac:dyDescent="0.35">
      <c r="A27" t="s">
        <v>84</v>
      </c>
      <c r="B27">
        <v>45599</v>
      </c>
      <c r="C27" t="s">
        <v>85</v>
      </c>
      <c r="D27" t="s">
        <v>14</v>
      </c>
      <c r="E27" t="s">
        <v>38</v>
      </c>
      <c r="F27" t="s">
        <v>58</v>
      </c>
      <c r="G27">
        <v>5</v>
      </c>
      <c r="H27" s="2">
        <v>48</v>
      </c>
      <c r="I27" s="2">
        <v>240</v>
      </c>
      <c r="J27" s="2">
        <v>146.79</v>
      </c>
      <c r="K27" s="2">
        <v>93.21</v>
      </c>
      <c r="L27" t="s">
        <v>44</v>
      </c>
    </row>
    <row r="28" spans="1:12" x14ac:dyDescent="0.35">
      <c r="A28" t="s">
        <v>86</v>
      </c>
      <c r="B28">
        <v>45544</v>
      </c>
      <c r="C28" t="s">
        <v>87</v>
      </c>
      <c r="D28" t="s">
        <v>24</v>
      </c>
      <c r="E28" t="s">
        <v>15</v>
      </c>
      <c r="F28" t="s">
        <v>16</v>
      </c>
      <c r="G28">
        <v>1</v>
      </c>
      <c r="H28" s="2">
        <v>18</v>
      </c>
      <c r="I28" s="2">
        <v>18</v>
      </c>
      <c r="J28" s="2">
        <v>13.95</v>
      </c>
      <c r="K28" s="2">
        <v>4.05</v>
      </c>
      <c r="L28" t="s">
        <v>21</v>
      </c>
    </row>
    <row r="29" spans="1:12" x14ac:dyDescent="0.35">
      <c r="A29" t="s">
        <v>88</v>
      </c>
      <c r="B29">
        <v>45352</v>
      </c>
      <c r="C29" t="s">
        <v>89</v>
      </c>
      <c r="D29" t="s">
        <v>14</v>
      </c>
      <c r="E29" t="s">
        <v>33</v>
      </c>
      <c r="F29" t="s">
        <v>34</v>
      </c>
      <c r="G29">
        <v>4</v>
      </c>
      <c r="H29" s="2">
        <v>42</v>
      </c>
      <c r="I29" s="2">
        <v>168</v>
      </c>
      <c r="J29" s="2">
        <v>94.24</v>
      </c>
      <c r="K29" s="2">
        <v>73.760000000000005</v>
      </c>
      <c r="L29" t="s">
        <v>44</v>
      </c>
    </row>
    <row r="30" spans="1:12" x14ac:dyDescent="0.35">
      <c r="A30" t="s">
        <v>90</v>
      </c>
      <c r="B30">
        <v>45312</v>
      </c>
      <c r="C30" t="s">
        <v>91</v>
      </c>
      <c r="D30" t="s">
        <v>24</v>
      </c>
      <c r="E30" t="s">
        <v>33</v>
      </c>
      <c r="F30" t="s">
        <v>92</v>
      </c>
      <c r="G30">
        <v>2</v>
      </c>
      <c r="H30" s="2">
        <v>58</v>
      </c>
      <c r="I30" s="2">
        <v>116</v>
      </c>
      <c r="J30" s="2">
        <v>82.89</v>
      </c>
      <c r="K30" s="2">
        <v>33.11</v>
      </c>
      <c r="L30" t="s">
        <v>17</v>
      </c>
    </row>
    <row r="31" spans="1:12" x14ac:dyDescent="0.35">
      <c r="A31" t="s">
        <v>93</v>
      </c>
      <c r="B31">
        <v>45406</v>
      </c>
      <c r="C31" t="s">
        <v>32</v>
      </c>
      <c r="D31" t="s">
        <v>28</v>
      </c>
      <c r="E31" t="s">
        <v>33</v>
      </c>
      <c r="F31" t="s">
        <v>55</v>
      </c>
      <c r="G31">
        <v>1</v>
      </c>
      <c r="H31" s="2">
        <v>93</v>
      </c>
      <c r="I31" s="2">
        <v>93</v>
      </c>
      <c r="J31" s="2">
        <v>74.12</v>
      </c>
      <c r="K31" s="2">
        <v>18.88</v>
      </c>
      <c r="L31" t="s">
        <v>17</v>
      </c>
    </row>
    <row r="32" spans="1:12" x14ac:dyDescent="0.35">
      <c r="A32" t="s">
        <v>94</v>
      </c>
      <c r="B32">
        <v>45310</v>
      </c>
      <c r="C32" t="s">
        <v>95</v>
      </c>
      <c r="D32" t="s">
        <v>42</v>
      </c>
      <c r="E32" t="s">
        <v>38</v>
      </c>
      <c r="F32" t="s">
        <v>58</v>
      </c>
      <c r="G32">
        <v>2</v>
      </c>
      <c r="H32" s="2">
        <v>10</v>
      </c>
      <c r="I32" s="2">
        <v>20</v>
      </c>
      <c r="J32" s="2">
        <v>13.05</v>
      </c>
      <c r="K32" s="2">
        <v>6.95</v>
      </c>
      <c r="L32" t="s">
        <v>17</v>
      </c>
    </row>
    <row r="33" spans="1:12" x14ac:dyDescent="0.35">
      <c r="A33" t="s">
        <v>96</v>
      </c>
      <c r="B33">
        <v>45645</v>
      </c>
      <c r="C33" t="s">
        <v>97</v>
      </c>
      <c r="D33" t="s">
        <v>24</v>
      </c>
      <c r="E33" t="s">
        <v>15</v>
      </c>
      <c r="F33" t="s">
        <v>16</v>
      </c>
      <c r="G33">
        <v>2</v>
      </c>
      <c r="H33" s="2">
        <v>63</v>
      </c>
      <c r="I33" s="2">
        <v>126</v>
      </c>
      <c r="J33" s="2">
        <v>66.23</v>
      </c>
      <c r="K33" s="2">
        <v>59.77</v>
      </c>
      <c r="L33" t="s">
        <v>35</v>
      </c>
    </row>
    <row r="34" spans="1:12" x14ac:dyDescent="0.35">
      <c r="A34" t="s">
        <v>98</v>
      </c>
      <c r="B34">
        <v>45615</v>
      </c>
      <c r="C34" t="s">
        <v>99</v>
      </c>
      <c r="D34" t="s">
        <v>14</v>
      </c>
      <c r="E34" t="s">
        <v>29</v>
      </c>
      <c r="F34" t="s">
        <v>30</v>
      </c>
      <c r="G34">
        <v>2</v>
      </c>
      <c r="H34" s="2">
        <v>51</v>
      </c>
      <c r="I34" s="2">
        <v>102</v>
      </c>
      <c r="J34" s="2">
        <v>62.06</v>
      </c>
      <c r="K34" s="2">
        <v>39.94</v>
      </c>
      <c r="L34" t="s">
        <v>21</v>
      </c>
    </row>
    <row r="35" spans="1:12" x14ac:dyDescent="0.35">
      <c r="A35" t="s">
        <v>100</v>
      </c>
      <c r="B35">
        <v>45554</v>
      </c>
      <c r="C35" t="s">
        <v>101</v>
      </c>
      <c r="D35" t="s">
        <v>14</v>
      </c>
      <c r="E35" t="s">
        <v>33</v>
      </c>
      <c r="F35" t="s">
        <v>34</v>
      </c>
      <c r="G35">
        <v>3</v>
      </c>
      <c r="H35" s="2">
        <v>28</v>
      </c>
      <c r="I35" s="2">
        <v>84</v>
      </c>
      <c r="J35" s="2">
        <v>66.2</v>
      </c>
      <c r="K35" s="2">
        <v>17.8</v>
      </c>
      <c r="L35" t="s">
        <v>21</v>
      </c>
    </row>
    <row r="36" spans="1:12" x14ac:dyDescent="0.35">
      <c r="A36" t="s">
        <v>102</v>
      </c>
      <c r="B36">
        <v>45410</v>
      </c>
      <c r="C36" t="s">
        <v>103</v>
      </c>
      <c r="D36" t="s">
        <v>24</v>
      </c>
      <c r="E36" t="s">
        <v>15</v>
      </c>
      <c r="F36" t="s">
        <v>16</v>
      </c>
      <c r="G36">
        <v>3</v>
      </c>
      <c r="H36" s="2">
        <v>32</v>
      </c>
      <c r="I36" s="2">
        <v>96</v>
      </c>
      <c r="J36" s="2">
        <v>62.69</v>
      </c>
      <c r="K36" s="2">
        <v>33.31</v>
      </c>
      <c r="L36" t="s">
        <v>44</v>
      </c>
    </row>
    <row r="37" spans="1:12" x14ac:dyDescent="0.35">
      <c r="A37" t="s">
        <v>104</v>
      </c>
      <c r="B37">
        <v>45635</v>
      </c>
      <c r="C37" t="s">
        <v>105</v>
      </c>
      <c r="D37" t="s">
        <v>24</v>
      </c>
      <c r="E37" t="s">
        <v>29</v>
      </c>
      <c r="F37" t="s">
        <v>43</v>
      </c>
      <c r="G37">
        <v>1</v>
      </c>
      <c r="H37" s="2">
        <v>42</v>
      </c>
      <c r="I37" s="2">
        <v>42</v>
      </c>
      <c r="J37" s="2">
        <v>28.22</v>
      </c>
      <c r="K37" s="2">
        <v>13.78</v>
      </c>
      <c r="L37" t="s">
        <v>17</v>
      </c>
    </row>
    <row r="38" spans="1:12" x14ac:dyDescent="0.35">
      <c r="A38" t="s">
        <v>106</v>
      </c>
      <c r="B38">
        <v>45405</v>
      </c>
      <c r="C38" t="s">
        <v>107</v>
      </c>
      <c r="D38" t="s">
        <v>24</v>
      </c>
      <c r="E38" t="s">
        <v>33</v>
      </c>
      <c r="F38" t="s">
        <v>55</v>
      </c>
      <c r="G38">
        <v>4</v>
      </c>
      <c r="H38" s="2">
        <v>55</v>
      </c>
      <c r="I38" s="2">
        <v>220</v>
      </c>
      <c r="J38" s="2">
        <v>120.93</v>
      </c>
      <c r="K38" s="2">
        <v>99.07</v>
      </c>
      <c r="L38" t="s">
        <v>44</v>
      </c>
    </row>
    <row r="39" spans="1:12" x14ac:dyDescent="0.35">
      <c r="A39" t="s">
        <v>108</v>
      </c>
      <c r="B39">
        <v>45366</v>
      </c>
      <c r="C39" t="s">
        <v>109</v>
      </c>
      <c r="D39" t="s">
        <v>28</v>
      </c>
      <c r="E39" t="s">
        <v>33</v>
      </c>
      <c r="F39" t="s">
        <v>92</v>
      </c>
      <c r="G39">
        <v>3</v>
      </c>
      <c r="H39" s="2">
        <v>44</v>
      </c>
      <c r="I39" s="2">
        <v>132</v>
      </c>
      <c r="J39" s="2">
        <v>99.88</v>
      </c>
      <c r="K39" s="2">
        <v>32.119999999999997</v>
      </c>
      <c r="L39" t="s">
        <v>21</v>
      </c>
    </row>
    <row r="40" spans="1:12" x14ac:dyDescent="0.35">
      <c r="A40" t="s">
        <v>110</v>
      </c>
      <c r="B40">
        <v>45358</v>
      </c>
      <c r="C40" t="s">
        <v>89</v>
      </c>
      <c r="D40" t="s">
        <v>28</v>
      </c>
      <c r="E40" t="s">
        <v>33</v>
      </c>
      <c r="F40" t="s">
        <v>34</v>
      </c>
      <c r="G40">
        <v>5</v>
      </c>
      <c r="H40" s="2">
        <v>83</v>
      </c>
      <c r="I40" s="2">
        <v>415</v>
      </c>
      <c r="J40" s="2">
        <v>216.22</v>
      </c>
      <c r="K40" s="2">
        <v>198.78</v>
      </c>
      <c r="L40" t="s">
        <v>17</v>
      </c>
    </row>
    <row r="41" spans="1:12" x14ac:dyDescent="0.35">
      <c r="A41" t="s">
        <v>111</v>
      </c>
      <c r="B41">
        <v>45596</v>
      </c>
      <c r="C41" t="s">
        <v>112</v>
      </c>
      <c r="D41" t="s">
        <v>42</v>
      </c>
      <c r="E41" t="s">
        <v>33</v>
      </c>
      <c r="F41" t="s">
        <v>92</v>
      </c>
      <c r="G41">
        <v>3</v>
      </c>
      <c r="H41" s="2">
        <v>59</v>
      </c>
      <c r="I41" s="2">
        <v>177</v>
      </c>
      <c r="J41" s="2">
        <v>115.09</v>
      </c>
      <c r="K41" s="2">
        <v>61.91</v>
      </c>
      <c r="L41" t="s">
        <v>44</v>
      </c>
    </row>
    <row r="42" spans="1:12" x14ac:dyDescent="0.35">
      <c r="A42" t="s">
        <v>113</v>
      </c>
      <c r="B42">
        <v>45545</v>
      </c>
      <c r="C42" t="s">
        <v>114</v>
      </c>
      <c r="D42" t="s">
        <v>14</v>
      </c>
      <c r="E42" t="s">
        <v>15</v>
      </c>
      <c r="F42" t="s">
        <v>16</v>
      </c>
      <c r="G42">
        <v>3</v>
      </c>
      <c r="H42" s="2">
        <v>69</v>
      </c>
      <c r="I42" s="2">
        <v>207</v>
      </c>
      <c r="J42" s="2">
        <v>163.16</v>
      </c>
      <c r="K42" s="2">
        <v>43.84</v>
      </c>
      <c r="L42" t="s">
        <v>35</v>
      </c>
    </row>
    <row r="43" spans="1:12" x14ac:dyDescent="0.35">
      <c r="A43" t="s">
        <v>115</v>
      </c>
      <c r="B43">
        <v>45495</v>
      </c>
      <c r="C43" t="s">
        <v>116</v>
      </c>
      <c r="D43" t="s">
        <v>28</v>
      </c>
      <c r="E43" t="s">
        <v>15</v>
      </c>
      <c r="F43" t="s">
        <v>20</v>
      </c>
      <c r="G43">
        <v>3</v>
      </c>
      <c r="H43" s="2">
        <v>15</v>
      </c>
      <c r="I43" s="2">
        <v>45</v>
      </c>
      <c r="J43" s="2">
        <v>34.96</v>
      </c>
      <c r="K43" s="2">
        <v>10.039999999999999</v>
      </c>
      <c r="L43" t="s">
        <v>21</v>
      </c>
    </row>
    <row r="44" spans="1:12" x14ac:dyDescent="0.35">
      <c r="A44" t="s">
        <v>117</v>
      </c>
      <c r="B44">
        <v>45421</v>
      </c>
      <c r="C44" t="s">
        <v>118</v>
      </c>
      <c r="D44" t="s">
        <v>24</v>
      </c>
      <c r="E44" t="s">
        <v>38</v>
      </c>
      <c r="F44" t="s">
        <v>39</v>
      </c>
      <c r="G44">
        <v>2</v>
      </c>
      <c r="H44" s="2">
        <v>30</v>
      </c>
      <c r="I44" s="2">
        <v>60</v>
      </c>
      <c r="J44" s="2">
        <v>36</v>
      </c>
      <c r="K44" s="2">
        <v>24</v>
      </c>
      <c r="L44" t="s">
        <v>21</v>
      </c>
    </row>
    <row r="45" spans="1:12" x14ac:dyDescent="0.35">
      <c r="A45" t="s">
        <v>119</v>
      </c>
      <c r="B45">
        <v>45433</v>
      </c>
      <c r="C45" t="s">
        <v>120</v>
      </c>
      <c r="D45" t="s">
        <v>14</v>
      </c>
      <c r="E45" t="s">
        <v>29</v>
      </c>
      <c r="F45" t="s">
        <v>47</v>
      </c>
      <c r="G45">
        <v>5</v>
      </c>
      <c r="H45" s="2">
        <v>81</v>
      </c>
      <c r="I45" s="2">
        <v>405</v>
      </c>
      <c r="J45" s="2">
        <v>265.27</v>
      </c>
      <c r="K45" s="2">
        <v>139.72999999999999</v>
      </c>
      <c r="L45" t="s">
        <v>44</v>
      </c>
    </row>
    <row r="46" spans="1:12" x14ac:dyDescent="0.35">
      <c r="A46" t="s">
        <v>121</v>
      </c>
      <c r="B46">
        <v>45529</v>
      </c>
      <c r="C46" t="s">
        <v>122</v>
      </c>
      <c r="D46" t="s">
        <v>28</v>
      </c>
      <c r="E46" t="s">
        <v>33</v>
      </c>
      <c r="F46" t="s">
        <v>55</v>
      </c>
      <c r="G46">
        <v>1</v>
      </c>
      <c r="H46" s="2">
        <v>75</v>
      </c>
      <c r="I46" s="2">
        <v>75</v>
      </c>
      <c r="J46" s="2">
        <v>55.66</v>
      </c>
      <c r="K46" s="2">
        <v>19.34</v>
      </c>
      <c r="L46" t="s">
        <v>21</v>
      </c>
    </row>
    <row r="47" spans="1:12" x14ac:dyDescent="0.35">
      <c r="A47" t="s">
        <v>123</v>
      </c>
      <c r="B47">
        <v>45345</v>
      </c>
      <c r="C47" t="s">
        <v>85</v>
      </c>
      <c r="D47" t="s">
        <v>28</v>
      </c>
      <c r="E47" t="s">
        <v>38</v>
      </c>
      <c r="F47" t="s">
        <v>39</v>
      </c>
      <c r="G47">
        <v>4</v>
      </c>
      <c r="H47" s="2">
        <v>36</v>
      </c>
      <c r="I47" s="2">
        <v>144</v>
      </c>
      <c r="J47" s="2">
        <v>91.9</v>
      </c>
      <c r="K47" s="2">
        <v>52.1</v>
      </c>
      <c r="L47" t="s">
        <v>44</v>
      </c>
    </row>
    <row r="48" spans="1:12" x14ac:dyDescent="0.35">
      <c r="A48" t="s">
        <v>124</v>
      </c>
      <c r="B48">
        <v>45353</v>
      </c>
      <c r="C48" t="s">
        <v>125</v>
      </c>
      <c r="D48" t="s">
        <v>24</v>
      </c>
      <c r="E48" t="s">
        <v>15</v>
      </c>
      <c r="F48" t="s">
        <v>16</v>
      </c>
      <c r="G48">
        <v>3</v>
      </c>
      <c r="H48" s="2">
        <v>55</v>
      </c>
      <c r="I48" s="2">
        <v>165</v>
      </c>
      <c r="J48" s="2">
        <v>112.22</v>
      </c>
      <c r="K48" s="2">
        <v>52.78</v>
      </c>
      <c r="L48" t="s">
        <v>21</v>
      </c>
    </row>
    <row r="49" spans="1:12" x14ac:dyDescent="0.35">
      <c r="A49" t="s">
        <v>126</v>
      </c>
      <c r="B49">
        <v>45485</v>
      </c>
      <c r="C49" t="s">
        <v>60</v>
      </c>
      <c r="D49" t="s">
        <v>24</v>
      </c>
      <c r="E49" t="s">
        <v>33</v>
      </c>
      <c r="F49" t="s">
        <v>92</v>
      </c>
      <c r="G49">
        <v>4</v>
      </c>
      <c r="H49" s="2">
        <v>43</v>
      </c>
      <c r="I49" s="2">
        <v>172</v>
      </c>
      <c r="J49" s="2">
        <v>109.68</v>
      </c>
      <c r="K49" s="2">
        <v>62.32</v>
      </c>
      <c r="L49" t="s">
        <v>44</v>
      </c>
    </row>
    <row r="50" spans="1:12" x14ac:dyDescent="0.35">
      <c r="A50" t="s">
        <v>127</v>
      </c>
      <c r="B50">
        <v>45404</v>
      </c>
      <c r="C50" t="s">
        <v>128</v>
      </c>
      <c r="D50" t="s">
        <v>14</v>
      </c>
      <c r="E50" t="s">
        <v>29</v>
      </c>
      <c r="F50" t="s">
        <v>30</v>
      </c>
      <c r="G50">
        <v>3</v>
      </c>
      <c r="H50" s="2">
        <v>84</v>
      </c>
      <c r="I50" s="2">
        <v>252</v>
      </c>
      <c r="J50" s="2">
        <v>143.63999999999999</v>
      </c>
      <c r="K50" s="2">
        <v>108.36</v>
      </c>
      <c r="L50" t="s">
        <v>17</v>
      </c>
    </row>
    <row r="51" spans="1:12" x14ac:dyDescent="0.35">
      <c r="A51" t="s">
        <v>129</v>
      </c>
      <c r="B51">
        <v>45449</v>
      </c>
      <c r="C51" t="s">
        <v>130</v>
      </c>
      <c r="D51" t="s">
        <v>28</v>
      </c>
      <c r="E51" t="s">
        <v>29</v>
      </c>
      <c r="F51" t="s">
        <v>30</v>
      </c>
      <c r="G51">
        <v>2</v>
      </c>
      <c r="H51" s="2">
        <v>26</v>
      </c>
      <c r="I51" s="2">
        <v>52</v>
      </c>
      <c r="J51" s="2">
        <v>38.46</v>
      </c>
      <c r="K51" s="2">
        <v>13.54</v>
      </c>
      <c r="L51" t="s">
        <v>44</v>
      </c>
    </row>
    <row r="52" spans="1:12" x14ac:dyDescent="0.35">
      <c r="A52" t="s">
        <v>131</v>
      </c>
      <c r="B52">
        <v>45360</v>
      </c>
      <c r="C52" t="s">
        <v>132</v>
      </c>
      <c r="D52" t="s">
        <v>14</v>
      </c>
      <c r="E52" t="s">
        <v>29</v>
      </c>
      <c r="F52" t="s">
        <v>47</v>
      </c>
      <c r="G52">
        <v>5</v>
      </c>
      <c r="H52" s="2">
        <v>61</v>
      </c>
      <c r="I52" s="2">
        <v>305</v>
      </c>
      <c r="J52" s="2">
        <v>198.48</v>
      </c>
      <c r="K52" s="2">
        <v>106.52</v>
      </c>
      <c r="L52" t="s">
        <v>17</v>
      </c>
    </row>
    <row r="53" spans="1:12" x14ac:dyDescent="0.35">
      <c r="A53" t="s">
        <v>133</v>
      </c>
      <c r="B53">
        <v>45541</v>
      </c>
      <c r="C53" t="s">
        <v>134</v>
      </c>
      <c r="D53" t="s">
        <v>28</v>
      </c>
      <c r="E53" t="s">
        <v>33</v>
      </c>
      <c r="F53" t="s">
        <v>55</v>
      </c>
      <c r="G53">
        <v>1</v>
      </c>
      <c r="H53" s="2">
        <v>86</v>
      </c>
      <c r="I53" s="2">
        <v>86</v>
      </c>
      <c r="J53" s="2">
        <v>53.21</v>
      </c>
      <c r="K53" s="2">
        <v>32.79</v>
      </c>
      <c r="L53" t="s">
        <v>21</v>
      </c>
    </row>
    <row r="54" spans="1:12" x14ac:dyDescent="0.35">
      <c r="A54" t="s">
        <v>135</v>
      </c>
      <c r="B54">
        <v>45656</v>
      </c>
      <c r="C54" t="s">
        <v>136</v>
      </c>
      <c r="D54" t="s">
        <v>14</v>
      </c>
      <c r="E54" t="s">
        <v>29</v>
      </c>
      <c r="F54" t="s">
        <v>43</v>
      </c>
      <c r="G54">
        <v>5</v>
      </c>
      <c r="H54" s="2">
        <v>18</v>
      </c>
      <c r="I54" s="2">
        <v>90</v>
      </c>
      <c r="J54" s="2">
        <v>46.06</v>
      </c>
      <c r="K54" s="2">
        <v>43.94</v>
      </c>
      <c r="L54" t="s">
        <v>44</v>
      </c>
    </row>
    <row r="55" spans="1:12" x14ac:dyDescent="0.35">
      <c r="A55" t="s">
        <v>137</v>
      </c>
      <c r="B55">
        <v>45633</v>
      </c>
      <c r="C55" t="s">
        <v>138</v>
      </c>
      <c r="D55" t="s">
        <v>14</v>
      </c>
      <c r="E55" t="s">
        <v>29</v>
      </c>
      <c r="F55" t="s">
        <v>30</v>
      </c>
      <c r="G55">
        <v>1</v>
      </c>
      <c r="H55" s="2">
        <v>13</v>
      </c>
      <c r="I55" s="2">
        <v>13</v>
      </c>
      <c r="J55" s="2">
        <v>8.69</v>
      </c>
      <c r="K55" s="2">
        <v>4.3099999999999996</v>
      </c>
      <c r="L55" t="s">
        <v>17</v>
      </c>
    </row>
    <row r="56" spans="1:12" x14ac:dyDescent="0.35">
      <c r="A56" t="s">
        <v>139</v>
      </c>
      <c r="B56">
        <v>45562</v>
      </c>
      <c r="C56" t="s">
        <v>140</v>
      </c>
      <c r="D56" t="s">
        <v>28</v>
      </c>
      <c r="E56" t="s">
        <v>15</v>
      </c>
      <c r="F56" t="s">
        <v>16</v>
      </c>
      <c r="G56">
        <v>2</v>
      </c>
      <c r="H56" s="2">
        <v>26</v>
      </c>
      <c r="I56" s="2">
        <v>52</v>
      </c>
      <c r="J56" s="2">
        <v>35.89</v>
      </c>
      <c r="K56" s="2">
        <v>16.11</v>
      </c>
      <c r="L56" t="s">
        <v>44</v>
      </c>
    </row>
    <row r="57" spans="1:12" x14ac:dyDescent="0.35">
      <c r="A57" t="s">
        <v>141</v>
      </c>
      <c r="B57">
        <v>45382</v>
      </c>
      <c r="C57" t="s">
        <v>142</v>
      </c>
      <c r="D57" t="s">
        <v>28</v>
      </c>
      <c r="E57" t="s">
        <v>15</v>
      </c>
      <c r="F57" t="s">
        <v>16</v>
      </c>
      <c r="G57">
        <v>4</v>
      </c>
      <c r="H57" s="2">
        <v>73</v>
      </c>
      <c r="I57" s="2">
        <v>292</v>
      </c>
      <c r="J57" s="2">
        <v>179.32</v>
      </c>
      <c r="K57" s="2">
        <v>112.68</v>
      </c>
      <c r="L57" t="s">
        <v>21</v>
      </c>
    </row>
    <row r="58" spans="1:12" x14ac:dyDescent="0.35">
      <c r="A58" t="s">
        <v>143</v>
      </c>
      <c r="B58">
        <v>45488</v>
      </c>
      <c r="C58" t="s">
        <v>144</v>
      </c>
      <c r="D58" t="s">
        <v>28</v>
      </c>
      <c r="E58" t="s">
        <v>29</v>
      </c>
      <c r="F58" t="s">
        <v>47</v>
      </c>
      <c r="G58">
        <v>5</v>
      </c>
      <c r="H58" s="2">
        <v>84</v>
      </c>
      <c r="I58" s="2">
        <v>420</v>
      </c>
      <c r="J58" s="2">
        <v>305.7</v>
      </c>
      <c r="K58" s="2">
        <v>114.3</v>
      </c>
      <c r="L58" t="s">
        <v>21</v>
      </c>
    </row>
    <row r="59" spans="1:12" x14ac:dyDescent="0.35">
      <c r="A59" t="s">
        <v>145</v>
      </c>
      <c r="B59">
        <v>45524</v>
      </c>
      <c r="C59" t="s">
        <v>146</v>
      </c>
      <c r="D59" t="s">
        <v>42</v>
      </c>
      <c r="E59" t="s">
        <v>15</v>
      </c>
      <c r="F59" t="s">
        <v>25</v>
      </c>
      <c r="G59">
        <v>3</v>
      </c>
      <c r="H59" s="2">
        <v>67</v>
      </c>
      <c r="I59" s="2">
        <v>201</v>
      </c>
      <c r="J59" s="2">
        <v>109.8</v>
      </c>
      <c r="K59" s="2">
        <v>91.2</v>
      </c>
      <c r="L59" t="s">
        <v>21</v>
      </c>
    </row>
    <row r="60" spans="1:12" x14ac:dyDescent="0.35">
      <c r="A60" t="s">
        <v>147</v>
      </c>
      <c r="B60">
        <v>45606</v>
      </c>
      <c r="C60" t="s">
        <v>148</v>
      </c>
      <c r="D60" t="s">
        <v>28</v>
      </c>
      <c r="E60" t="s">
        <v>33</v>
      </c>
      <c r="F60" t="s">
        <v>34</v>
      </c>
      <c r="G60">
        <v>4</v>
      </c>
      <c r="H60" s="2">
        <v>28</v>
      </c>
      <c r="I60" s="2">
        <v>112</v>
      </c>
      <c r="J60" s="2">
        <v>59.28</v>
      </c>
      <c r="K60" s="2">
        <v>52.72</v>
      </c>
      <c r="L60" t="s">
        <v>21</v>
      </c>
    </row>
    <row r="61" spans="1:12" x14ac:dyDescent="0.35">
      <c r="A61" t="s">
        <v>149</v>
      </c>
      <c r="B61">
        <v>45451</v>
      </c>
      <c r="C61" t="s">
        <v>150</v>
      </c>
      <c r="D61" t="s">
        <v>24</v>
      </c>
      <c r="E61" t="s">
        <v>15</v>
      </c>
      <c r="F61" t="s">
        <v>20</v>
      </c>
      <c r="G61">
        <v>3</v>
      </c>
      <c r="H61" s="2">
        <v>33</v>
      </c>
      <c r="I61" s="2">
        <v>99</v>
      </c>
      <c r="J61" s="2">
        <v>74.22</v>
      </c>
      <c r="K61" s="2">
        <v>24.78</v>
      </c>
      <c r="L61" t="s">
        <v>44</v>
      </c>
    </row>
    <row r="62" spans="1:12" x14ac:dyDescent="0.35">
      <c r="A62" t="s">
        <v>151</v>
      </c>
      <c r="B62">
        <v>45436</v>
      </c>
      <c r="C62" t="s">
        <v>138</v>
      </c>
      <c r="D62" t="s">
        <v>24</v>
      </c>
      <c r="E62" t="s">
        <v>15</v>
      </c>
      <c r="F62" t="s">
        <v>20</v>
      </c>
      <c r="G62">
        <v>3</v>
      </c>
      <c r="H62" s="2">
        <v>39</v>
      </c>
      <c r="I62" s="2">
        <v>117</v>
      </c>
      <c r="J62" s="2">
        <v>90.86</v>
      </c>
      <c r="K62" s="2">
        <v>26.14</v>
      </c>
      <c r="L62" t="s">
        <v>17</v>
      </c>
    </row>
    <row r="63" spans="1:12" x14ac:dyDescent="0.35">
      <c r="A63" t="s">
        <v>152</v>
      </c>
      <c r="B63">
        <v>45527</v>
      </c>
      <c r="C63" t="s">
        <v>153</v>
      </c>
      <c r="D63" t="s">
        <v>28</v>
      </c>
      <c r="E63" t="s">
        <v>33</v>
      </c>
      <c r="F63" t="s">
        <v>34</v>
      </c>
      <c r="G63">
        <v>4</v>
      </c>
      <c r="H63" s="2">
        <v>72</v>
      </c>
      <c r="I63" s="2">
        <v>288</v>
      </c>
      <c r="J63" s="2">
        <v>183.86</v>
      </c>
      <c r="K63" s="2">
        <v>104.14</v>
      </c>
      <c r="L63" t="s">
        <v>17</v>
      </c>
    </row>
    <row r="64" spans="1:12" x14ac:dyDescent="0.35">
      <c r="A64" t="s">
        <v>154</v>
      </c>
      <c r="B64">
        <v>45550</v>
      </c>
      <c r="C64" t="s">
        <v>155</v>
      </c>
      <c r="D64" t="s">
        <v>28</v>
      </c>
      <c r="E64" t="s">
        <v>15</v>
      </c>
      <c r="F64" t="s">
        <v>16</v>
      </c>
      <c r="G64">
        <v>4</v>
      </c>
      <c r="H64" s="2">
        <v>33</v>
      </c>
      <c r="I64" s="2">
        <v>132</v>
      </c>
      <c r="J64" s="2">
        <v>76.06</v>
      </c>
      <c r="K64" s="2">
        <v>55.94</v>
      </c>
      <c r="L64" t="s">
        <v>44</v>
      </c>
    </row>
    <row r="65" spans="1:12" x14ac:dyDescent="0.35">
      <c r="A65" t="s">
        <v>156</v>
      </c>
      <c r="B65">
        <v>45439</v>
      </c>
      <c r="C65" t="s">
        <v>157</v>
      </c>
      <c r="D65" t="s">
        <v>42</v>
      </c>
      <c r="E65" t="s">
        <v>29</v>
      </c>
      <c r="F65" t="s">
        <v>47</v>
      </c>
      <c r="G65">
        <v>2</v>
      </c>
      <c r="H65" s="2">
        <v>77</v>
      </c>
      <c r="I65" s="2">
        <v>154</v>
      </c>
      <c r="J65" s="2">
        <v>110.02</v>
      </c>
      <c r="K65" s="2">
        <v>43.98</v>
      </c>
      <c r="L65" t="s">
        <v>44</v>
      </c>
    </row>
    <row r="66" spans="1:12" x14ac:dyDescent="0.35">
      <c r="A66" t="s">
        <v>158</v>
      </c>
      <c r="B66">
        <v>45512</v>
      </c>
      <c r="C66" t="s">
        <v>159</v>
      </c>
      <c r="D66" t="s">
        <v>28</v>
      </c>
      <c r="E66" t="s">
        <v>38</v>
      </c>
      <c r="F66" t="s">
        <v>58</v>
      </c>
      <c r="G66">
        <v>2</v>
      </c>
      <c r="H66" s="2">
        <v>47</v>
      </c>
      <c r="I66" s="2">
        <v>94</v>
      </c>
      <c r="J66" s="2">
        <v>47.78</v>
      </c>
      <c r="K66" s="2">
        <v>46.22</v>
      </c>
      <c r="L66" t="s">
        <v>21</v>
      </c>
    </row>
    <row r="67" spans="1:12" x14ac:dyDescent="0.35">
      <c r="A67" t="s">
        <v>160</v>
      </c>
      <c r="B67">
        <v>45335</v>
      </c>
      <c r="C67" t="s">
        <v>161</v>
      </c>
      <c r="D67" t="s">
        <v>24</v>
      </c>
      <c r="E67" t="s">
        <v>15</v>
      </c>
      <c r="F67" t="s">
        <v>16</v>
      </c>
      <c r="G67">
        <v>2</v>
      </c>
      <c r="H67" s="2">
        <v>100</v>
      </c>
      <c r="I67" s="2">
        <v>200</v>
      </c>
      <c r="J67" s="2">
        <v>145.55000000000001</v>
      </c>
      <c r="K67" s="2">
        <v>54.45</v>
      </c>
      <c r="L67" t="s">
        <v>35</v>
      </c>
    </row>
    <row r="68" spans="1:12" x14ac:dyDescent="0.35">
      <c r="A68" t="s">
        <v>162</v>
      </c>
      <c r="B68">
        <v>45429</v>
      </c>
      <c r="C68" t="s">
        <v>163</v>
      </c>
      <c r="D68" t="s">
        <v>24</v>
      </c>
      <c r="E68" t="s">
        <v>15</v>
      </c>
      <c r="F68" t="s">
        <v>25</v>
      </c>
      <c r="G68">
        <v>1</v>
      </c>
      <c r="H68" s="2">
        <v>37</v>
      </c>
      <c r="I68" s="2">
        <v>37</v>
      </c>
      <c r="J68" s="2">
        <v>19.7</v>
      </c>
      <c r="K68" s="2">
        <v>17.3</v>
      </c>
      <c r="L68" t="s">
        <v>44</v>
      </c>
    </row>
    <row r="69" spans="1:12" x14ac:dyDescent="0.35">
      <c r="A69" t="s">
        <v>164</v>
      </c>
      <c r="B69">
        <v>45502</v>
      </c>
      <c r="C69" t="s">
        <v>165</v>
      </c>
      <c r="D69" t="s">
        <v>14</v>
      </c>
      <c r="E69" t="s">
        <v>33</v>
      </c>
      <c r="F69" t="s">
        <v>92</v>
      </c>
      <c r="G69">
        <v>1</v>
      </c>
      <c r="H69" s="2">
        <v>11</v>
      </c>
      <c r="I69" s="2">
        <v>11</v>
      </c>
      <c r="J69" s="2">
        <v>6.17</v>
      </c>
      <c r="K69" s="2">
        <v>4.83</v>
      </c>
      <c r="L69" t="s">
        <v>17</v>
      </c>
    </row>
    <row r="70" spans="1:12" x14ac:dyDescent="0.35">
      <c r="A70" t="s">
        <v>166</v>
      </c>
      <c r="B70">
        <v>45503</v>
      </c>
      <c r="C70" t="s">
        <v>167</v>
      </c>
      <c r="D70" t="s">
        <v>24</v>
      </c>
      <c r="E70" t="s">
        <v>38</v>
      </c>
      <c r="F70" t="s">
        <v>58</v>
      </c>
      <c r="G70">
        <v>5</v>
      </c>
      <c r="H70" s="2">
        <v>73</v>
      </c>
      <c r="I70" s="2">
        <v>365</v>
      </c>
      <c r="J70" s="2">
        <v>288.74</v>
      </c>
      <c r="K70" s="2">
        <v>76.260000000000005</v>
      </c>
      <c r="L70" t="s">
        <v>44</v>
      </c>
    </row>
    <row r="71" spans="1:12" x14ac:dyDescent="0.35">
      <c r="A71" t="s">
        <v>168</v>
      </c>
      <c r="B71">
        <v>45339</v>
      </c>
      <c r="C71" t="s">
        <v>169</v>
      </c>
      <c r="D71" t="s">
        <v>24</v>
      </c>
      <c r="E71" t="s">
        <v>29</v>
      </c>
      <c r="F71" t="s">
        <v>75</v>
      </c>
      <c r="G71">
        <v>5</v>
      </c>
      <c r="H71" s="2">
        <v>78</v>
      </c>
      <c r="I71" s="2">
        <v>390</v>
      </c>
      <c r="J71" s="2">
        <v>271.68</v>
      </c>
      <c r="K71" s="2">
        <v>118.32</v>
      </c>
      <c r="L71" t="s">
        <v>35</v>
      </c>
    </row>
    <row r="72" spans="1:12" x14ac:dyDescent="0.35">
      <c r="A72" t="s">
        <v>170</v>
      </c>
      <c r="B72">
        <v>45308</v>
      </c>
      <c r="C72" t="s">
        <v>171</v>
      </c>
      <c r="D72" t="s">
        <v>42</v>
      </c>
      <c r="E72" t="s">
        <v>33</v>
      </c>
      <c r="F72" t="s">
        <v>92</v>
      </c>
      <c r="G72">
        <v>1</v>
      </c>
      <c r="H72" s="2">
        <v>46</v>
      </c>
      <c r="I72" s="2">
        <v>46</v>
      </c>
      <c r="J72" s="2">
        <v>31.17</v>
      </c>
      <c r="K72" s="2">
        <v>14.83</v>
      </c>
      <c r="L72" t="s">
        <v>17</v>
      </c>
    </row>
    <row r="73" spans="1:12" x14ac:dyDescent="0.35">
      <c r="A73" t="s">
        <v>172</v>
      </c>
      <c r="B73">
        <v>45499</v>
      </c>
      <c r="C73" t="s">
        <v>173</v>
      </c>
      <c r="D73" t="s">
        <v>14</v>
      </c>
      <c r="E73" t="s">
        <v>15</v>
      </c>
      <c r="F73" t="s">
        <v>16</v>
      </c>
      <c r="G73">
        <v>4</v>
      </c>
      <c r="H73" s="2">
        <v>30</v>
      </c>
      <c r="I73" s="2">
        <v>120</v>
      </c>
      <c r="J73" s="2">
        <v>86.99</v>
      </c>
      <c r="K73" s="2">
        <v>33.01</v>
      </c>
      <c r="L73" t="s">
        <v>21</v>
      </c>
    </row>
    <row r="74" spans="1:12" x14ac:dyDescent="0.35">
      <c r="A74" t="s">
        <v>174</v>
      </c>
      <c r="B74">
        <v>45635</v>
      </c>
      <c r="C74" t="s">
        <v>175</v>
      </c>
      <c r="D74" t="s">
        <v>24</v>
      </c>
      <c r="E74" t="s">
        <v>15</v>
      </c>
      <c r="F74" t="s">
        <v>25</v>
      </c>
      <c r="G74">
        <v>1</v>
      </c>
      <c r="H74" s="2">
        <v>96</v>
      </c>
      <c r="I74" s="2">
        <v>96</v>
      </c>
      <c r="J74" s="2">
        <v>62.91</v>
      </c>
      <c r="K74" s="2">
        <v>33.090000000000003</v>
      </c>
      <c r="L74" t="s">
        <v>44</v>
      </c>
    </row>
    <row r="75" spans="1:12" x14ac:dyDescent="0.35">
      <c r="A75" t="s">
        <v>176</v>
      </c>
      <c r="B75">
        <v>45597</v>
      </c>
      <c r="C75" t="s">
        <v>177</v>
      </c>
      <c r="D75" t="s">
        <v>28</v>
      </c>
      <c r="E75" t="s">
        <v>29</v>
      </c>
      <c r="F75" t="s">
        <v>47</v>
      </c>
      <c r="G75">
        <v>2</v>
      </c>
      <c r="H75" s="2">
        <v>89</v>
      </c>
      <c r="I75" s="2">
        <v>178</v>
      </c>
      <c r="J75" s="2">
        <v>114.32</v>
      </c>
      <c r="K75" s="2">
        <v>63.68</v>
      </c>
      <c r="L75" t="s">
        <v>17</v>
      </c>
    </row>
    <row r="76" spans="1:12" x14ac:dyDescent="0.35">
      <c r="A76" t="s">
        <v>178</v>
      </c>
      <c r="B76">
        <v>45311</v>
      </c>
      <c r="C76" t="s">
        <v>179</v>
      </c>
      <c r="D76" t="s">
        <v>14</v>
      </c>
      <c r="E76" t="s">
        <v>33</v>
      </c>
      <c r="F76" t="s">
        <v>34</v>
      </c>
      <c r="G76">
        <v>2</v>
      </c>
      <c r="H76" s="2">
        <v>73</v>
      </c>
      <c r="I76" s="2">
        <v>146</v>
      </c>
      <c r="J76" s="2">
        <v>101.58</v>
      </c>
      <c r="K76" s="2">
        <v>44.42</v>
      </c>
      <c r="L76" t="s">
        <v>17</v>
      </c>
    </row>
    <row r="77" spans="1:12" x14ac:dyDescent="0.35">
      <c r="A77" t="s">
        <v>180</v>
      </c>
      <c r="B77">
        <v>45530</v>
      </c>
      <c r="C77" t="s">
        <v>181</v>
      </c>
      <c r="D77" t="s">
        <v>14</v>
      </c>
      <c r="E77" t="s">
        <v>29</v>
      </c>
      <c r="F77" t="s">
        <v>43</v>
      </c>
      <c r="G77">
        <v>1</v>
      </c>
      <c r="H77" s="2">
        <v>57</v>
      </c>
      <c r="I77" s="2">
        <v>57</v>
      </c>
      <c r="J77" s="2">
        <v>38.6</v>
      </c>
      <c r="K77" s="2">
        <v>18.399999999999999</v>
      </c>
      <c r="L77" t="s">
        <v>21</v>
      </c>
    </row>
    <row r="78" spans="1:12" x14ac:dyDescent="0.35">
      <c r="A78" t="s">
        <v>182</v>
      </c>
      <c r="B78">
        <v>45562</v>
      </c>
      <c r="C78" t="s">
        <v>83</v>
      </c>
      <c r="D78" t="s">
        <v>24</v>
      </c>
      <c r="E78" t="s">
        <v>33</v>
      </c>
      <c r="F78" t="s">
        <v>55</v>
      </c>
      <c r="G78">
        <v>4</v>
      </c>
      <c r="H78" s="2">
        <v>83</v>
      </c>
      <c r="I78" s="2">
        <v>332</v>
      </c>
      <c r="J78" s="2">
        <v>176.12</v>
      </c>
      <c r="K78" s="2">
        <v>155.88</v>
      </c>
      <c r="L78" t="s">
        <v>35</v>
      </c>
    </row>
    <row r="79" spans="1:12" x14ac:dyDescent="0.35">
      <c r="A79" t="s">
        <v>183</v>
      </c>
      <c r="B79">
        <v>45455</v>
      </c>
      <c r="C79" t="s">
        <v>184</v>
      </c>
      <c r="D79" t="s">
        <v>28</v>
      </c>
      <c r="E79" t="s">
        <v>33</v>
      </c>
      <c r="F79" t="s">
        <v>34</v>
      </c>
      <c r="G79">
        <v>4</v>
      </c>
      <c r="H79" s="2">
        <v>29</v>
      </c>
      <c r="I79" s="2">
        <v>116</v>
      </c>
      <c r="J79" s="2">
        <v>82.63</v>
      </c>
      <c r="K79" s="2">
        <v>33.369999999999997</v>
      </c>
      <c r="L79" t="s">
        <v>35</v>
      </c>
    </row>
    <row r="80" spans="1:12" x14ac:dyDescent="0.35">
      <c r="A80" t="s">
        <v>185</v>
      </c>
      <c r="B80">
        <v>45449</v>
      </c>
      <c r="C80" t="s">
        <v>27</v>
      </c>
      <c r="D80" t="s">
        <v>14</v>
      </c>
      <c r="E80" t="s">
        <v>15</v>
      </c>
      <c r="F80" t="s">
        <v>16</v>
      </c>
      <c r="G80">
        <v>5</v>
      </c>
      <c r="H80" s="2">
        <v>62</v>
      </c>
      <c r="I80" s="2">
        <v>310</v>
      </c>
      <c r="J80" s="2">
        <v>206.09</v>
      </c>
      <c r="K80" s="2">
        <v>103.91</v>
      </c>
      <c r="L80" t="s">
        <v>35</v>
      </c>
    </row>
    <row r="81" spans="1:12" x14ac:dyDescent="0.35">
      <c r="A81" t="s">
        <v>186</v>
      </c>
      <c r="B81">
        <v>45418</v>
      </c>
      <c r="C81" t="s">
        <v>187</v>
      </c>
      <c r="D81" t="s">
        <v>24</v>
      </c>
      <c r="E81" t="s">
        <v>33</v>
      </c>
      <c r="F81" t="s">
        <v>55</v>
      </c>
      <c r="G81">
        <v>4</v>
      </c>
      <c r="H81" s="2">
        <v>51</v>
      </c>
      <c r="I81" s="2">
        <v>204</v>
      </c>
      <c r="J81" s="2">
        <v>119.02</v>
      </c>
      <c r="K81" s="2">
        <v>84.98</v>
      </c>
      <c r="L81" t="s">
        <v>44</v>
      </c>
    </row>
    <row r="82" spans="1:12" x14ac:dyDescent="0.35">
      <c r="A82" t="s">
        <v>188</v>
      </c>
      <c r="B82">
        <v>45326</v>
      </c>
      <c r="C82" t="s">
        <v>189</v>
      </c>
      <c r="D82" t="s">
        <v>42</v>
      </c>
      <c r="E82" t="s">
        <v>15</v>
      </c>
      <c r="F82" t="s">
        <v>16</v>
      </c>
      <c r="G82">
        <v>5</v>
      </c>
      <c r="H82" s="2">
        <v>67</v>
      </c>
      <c r="I82" s="2">
        <v>335</v>
      </c>
      <c r="J82" s="2">
        <v>211.56</v>
      </c>
      <c r="K82" s="2">
        <v>123.44</v>
      </c>
      <c r="L82" t="s">
        <v>35</v>
      </c>
    </row>
    <row r="83" spans="1:12" x14ac:dyDescent="0.35">
      <c r="A83" t="s">
        <v>190</v>
      </c>
      <c r="B83">
        <v>45303</v>
      </c>
      <c r="C83" t="s">
        <v>109</v>
      </c>
      <c r="D83" t="s">
        <v>42</v>
      </c>
      <c r="E83" t="s">
        <v>33</v>
      </c>
      <c r="F83" t="s">
        <v>55</v>
      </c>
      <c r="G83">
        <v>2</v>
      </c>
      <c r="H83" s="2">
        <v>24</v>
      </c>
      <c r="I83" s="2">
        <v>48</v>
      </c>
      <c r="J83" s="2">
        <v>34.29</v>
      </c>
      <c r="K83" s="2">
        <v>13.71</v>
      </c>
      <c r="L83" t="s">
        <v>44</v>
      </c>
    </row>
    <row r="84" spans="1:12" x14ac:dyDescent="0.35">
      <c r="A84" t="s">
        <v>191</v>
      </c>
      <c r="B84">
        <v>45617</v>
      </c>
      <c r="C84" t="s">
        <v>169</v>
      </c>
      <c r="D84" t="s">
        <v>42</v>
      </c>
      <c r="E84" t="s">
        <v>38</v>
      </c>
      <c r="F84" t="s">
        <v>39</v>
      </c>
      <c r="G84">
        <v>4</v>
      </c>
      <c r="H84" s="2">
        <v>51</v>
      </c>
      <c r="I84" s="2">
        <v>204</v>
      </c>
      <c r="J84" s="2">
        <v>102.74</v>
      </c>
      <c r="K84" s="2">
        <v>101.26</v>
      </c>
      <c r="L84" t="s">
        <v>21</v>
      </c>
    </row>
    <row r="85" spans="1:12" x14ac:dyDescent="0.35">
      <c r="A85" t="s">
        <v>192</v>
      </c>
      <c r="B85">
        <v>45611</v>
      </c>
      <c r="C85" t="s">
        <v>193</v>
      </c>
      <c r="D85" t="s">
        <v>28</v>
      </c>
      <c r="E85" t="s">
        <v>15</v>
      </c>
      <c r="F85" t="s">
        <v>20</v>
      </c>
      <c r="G85">
        <v>2</v>
      </c>
      <c r="H85" s="2">
        <v>66</v>
      </c>
      <c r="I85" s="2">
        <v>132</v>
      </c>
      <c r="J85" s="2">
        <v>91.46</v>
      </c>
      <c r="K85" s="2">
        <v>40.54</v>
      </c>
      <c r="L85" t="s">
        <v>21</v>
      </c>
    </row>
    <row r="86" spans="1:12" x14ac:dyDescent="0.35">
      <c r="A86" t="s">
        <v>194</v>
      </c>
      <c r="B86">
        <v>45473</v>
      </c>
      <c r="C86" t="s">
        <v>125</v>
      </c>
      <c r="D86" t="s">
        <v>42</v>
      </c>
      <c r="E86" t="s">
        <v>29</v>
      </c>
      <c r="F86" t="s">
        <v>75</v>
      </c>
      <c r="G86">
        <v>3</v>
      </c>
      <c r="H86" s="2">
        <v>77</v>
      </c>
      <c r="I86" s="2">
        <v>231</v>
      </c>
      <c r="J86" s="2">
        <v>154.88</v>
      </c>
      <c r="K86" s="2">
        <v>76.12</v>
      </c>
      <c r="L86" t="s">
        <v>17</v>
      </c>
    </row>
    <row r="87" spans="1:12" x14ac:dyDescent="0.35">
      <c r="A87" t="s">
        <v>195</v>
      </c>
      <c r="B87">
        <v>45607</v>
      </c>
      <c r="C87" t="s">
        <v>196</v>
      </c>
      <c r="D87" t="s">
        <v>42</v>
      </c>
      <c r="E87" t="s">
        <v>33</v>
      </c>
      <c r="F87" t="s">
        <v>55</v>
      </c>
      <c r="G87">
        <v>5</v>
      </c>
      <c r="H87" s="2">
        <v>61</v>
      </c>
      <c r="I87" s="2">
        <v>305</v>
      </c>
      <c r="J87" s="2">
        <v>222.65</v>
      </c>
      <c r="K87" s="2">
        <v>82.35</v>
      </c>
      <c r="L87" t="s">
        <v>35</v>
      </c>
    </row>
    <row r="88" spans="1:12" x14ac:dyDescent="0.35">
      <c r="A88" t="s">
        <v>197</v>
      </c>
      <c r="B88">
        <v>45505</v>
      </c>
      <c r="C88" t="s">
        <v>140</v>
      </c>
      <c r="D88" t="s">
        <v>28</v>
      </c>
      <c r="E88" t="s">
        <v>33</v>
      </c>
      <c r="F88" t="s">
        <v>92</v>
      </c>
      <c r="G88">
        <v>2</v>
      </c>
      <c r="H88" s="2">
        <v>18</v>
      </c>
      <c r="I88" s="2">
        <v>36</v>
      </c>
      <c r="J88" s="2">
        <v>28.33</v>
      </c>
      <c r="K88" s="2">
        <v>7.67</v>
      </c>
      <c r="L88" t="s">
        <v>44</v>
      </c>
    </row>
    <row r="89" spans="1:12" x14ac:dyDescent="0.35">
      <c r="A89" t="s">
        <v>198</v>
      </c>
      <c r="B89">
        <v>45643</v>
      </c>
      <c r="C89" t="s">
        <v>199</v>
      </c>
      <c r="D89" t="s">
        <v>14</v>
      </c>
      <c r="E89" t="s">
        <v>38</v>
      </c>
      <c r="F89" t="s">
        <v>39</v>
      </c>
      <c r="G89">
        <v>2</v>
      </c>
      <c r="H89" s="2">
        <v>16</v>
      </c>
      <c r="I89" s="2">
        <v>32</v>
      </c>
      <c r="J89" s="2">
        <v>18.010000000000002</v>
      </c>
      <c r="K89" s="2">
        <v>13.99</v>
      </c>
      <c r="L89" t="s">
        <v>21</v>
      </c>
    </row>
    <row r="90" spans="1:12" x14ac:dyDescent="0.35">
      <c r="A90" t="s">
        <v>200</v>
      </c>
      <c r="B90">
        <v>45550</v>
      </c>
      <c r="C90" t="s">
        <v>201</v>
      </c>
      <c r="D90" t="s">
        <v>28</v>
      </c>
      <c r="E90" t="s">
        <v>29</v>
      </c>
      <c r="F90" t="s">
        <v>30</v>
      </c>
      <c r="G90">
        <v>3</v>
      </c>
      <c r="H90" s="2">
        <v>100</v>
      </c>
      <c r="I90" s="2">
        <v>300</v>
      </c>
      <c r="J90" s="2">
        <v>154.86000000000001</v>
      </c>
      <c r="K90" s="2">
        <v>145.13999999999999</v>
      </c>
      <c r="L90" t="s">
        <v>35</v>
      </c>
    </row>
    <row r="91" spans="1:12" x14ac:dyDescent="0.35">
      <c r="A91" t="s">
        <v>202</v>
      </c>
      <c r="B91">
        <v>45611</v>
      </c>
      <c r="C91" t="s">
        <v>203</v>
      </c>
      <c r="D91" t="s">
        <v>42</v>
      </c>
      <c r="E91" t="s">
        <v>38</v>
      </c>
      <c r="F91" t="s">
        <v>58</v>
      </c>
      <c r="G91">
        <v>5</v>
      </c>
      <c r="H91" s="2">
        <v>66</v>
      </c>
      <c r="I91" s="2">
        <v>330</v>
      </c>
      <c r="J91" s="2">
        <v>213.63</v>
      </c>
      <c r="K91" s="2">
        <v>116.37</v>
      </c>
      <c r="L91" t="s">
        <v>21</v>
      </c>
    </row>
    <row r="92" spans="1:12" x14ac:dyDescent="0.35">
      <c r="A92" t="s">
        <v>204</v>
      </c>
      <c r="B92">
        <v>45389</v>
      </c>
      <c r="C92" t="s">
        <v>205</v>
      </c>
      <c r="D92" t="s">
        <v>28</v>
      </c>
      <c r="E92" t="s">
        <v>33</v>
      </c>
      <c r="F92" t="s">
        <v>55</v>
      </c>
      <c r="G92">
        <v>5</v>
      </c>
      <c r="H92" s="2">
        <v>89</v>
      </c>
      <c r="I92" s="2">
        <v>445</v>
      </c>
      <c r="J92" s="2">
        <v>263.33999999999997</v>
      </c>
      <c r="K92" s="2">
        <v>181.66</v>
      </c>
      <c r="L92" t="s">
        <v>44</v>
      </c>
    </row>
    <row r="93" spans="1:12" x14ac:dyDescent="0.35">
      <c r="A93" t="s">
        <v>206</v>
      </c>
      <c r="B93">
        <v>45396</v>
      </c>
      <c r="C93" t="s">
        <v>207</v>
      </c>
      <c r="D93" t="s">
        <v>14</v>
      </c>
      <c r="E93" t="s">
        <v>33</v>
      </c>
      <c r="F93" t="s">
        <v>92</v>
      </c>
      <c r="G93">
        <v>5</v>
      </c>
      <c r="H93" s="2">
        <v>75</v>
      </c>
      <c r="I93" s="2">
        <v>375</v>
      </c>
      <c r="J93" s="2">
        <v>212.22</v>
      </c>
      <c r="K93" s="2">
        <v>162.78</v>
      </c>
      <c r="L93" t="s">
        <v>44</v>
      </c>
    </row>
    <row r="94" spans="1:12" x14ac:dyDescent="0.35">
      <c r="A94" t="s">
        <v>208</v>
      </c>
      <c r="B94">
        <v>45386</v>
      </c>
      <c r="C94" t="s">
        <v>209</v>
      </c>
      <c r="D94" t="s">
        <v>28</v>
      </c>
      <c r="E94" t="s">
        <v>33</v>
      </c>
      <c r="F94" t="s">
        <v>55</v>
      </c>
      <c r="G94">
        <v>5</v>
      </c>
      <c r="H94" s="2">
        <v>69</v>
      </c>
      <c r="I94" s="2">
        <v>345</v>
      </c>
      <c r="J94" s="2">
        <v>233.43</v>
      </c>
      <c r="K94" s="2">
        <v>111.57</v>
      </c>
      <c r="L94" t="s">
        <v>44</v>
      </c>
    </row>
    <row r="95" spans="1:12" x14ac:dyDescent="0.35">
      <c r="A95" t="s">
        <v>210</v>
      </c>
      <c r="B95">
        <v>45612</v>
      </c>
      <c r="C95" t="s">
        <v>211</v>
      </c>
      <c r="D95" t="s">
        <v>42</v>
      </c>
      <c r="E95" t="s">
        <v>33</v>
      </c>
      <c r="F95" t="s">
        <v>55</v>
      </c>
      <c r="G95">
        <v>4</v>
      </c>
      <c r="H95" s="2">
        <v>20</v>
      </c>
      <c r="I95" s="2">
        <v>80</v>
      </c>
      <c r="J95" s="2">
        <v>56.32</v>
      </c>
      <c r="K95" s="2">
        <v>23.68</v>
      </c>
      <c r="L95" t="s">
        <v>21</v>
      </c>
    </row>
    <row r="96" spans="1:12" x14ac:dyDescent="0.35">
      <c r="A96" t="s">
        <v>212</v>
      </c>
      <c r="B96">
        <v>45406</v>
      </c>
      <c r="C96" t="s">
        <v>140</v>
      </c>
      <c r="D96" t="s">
        <v>28</v>
      </c>
      <c r="E96" t="s">
        <v>33</v>
      </c>
      <c r="F96" t="s">
        <v>55</v>
      </c>
      <c r="G96">
        <v>2</v>
      </c>
      <c r="H96" s="2">
        <v>62</v>
      </c>
      <c r="I96" s="2">
        <v>124</v>
      </c>
      <c r="J96" s="2">
        <v>76.81</v>
      </c>
      <c r="K96" s="2">
        <v>47.19</v>
      </c>
      <c r="L96" t="s">
        <v>17</v>
      </c>
    </row>
    <row r="97" spans="1:12" x14ac:dyDescent="0.35">
      <c r="A97" t="s">
        <v>213</v>
      </c>
      <c r="B97">
        <v>45635</v>
      </c>
      <c r="C97" t="s">
        <v>214</v>
      </c>
      <c r="D97" t="s">
        <v>14</v>
      </c>
      <c r="E97" t="s">
        <v>38</v>
      </c>
      <c r="F97" t="s">
        <v>58</v>
      </c>
      <c r="G97">
        <v>5</v>
      </c>
      <c r="H97" s="2">
        <v>72</v>
      </c>
      <c r="I97" s="2">
        <v>360</v>
      </c>
      <c r="J97" s="2">
        <v>267.8</v>
      </c>
      <c r="K97" s="2">
        <v>92.2</v>
      </c>
      <c r="L97" t="s">
        <v>35</v>
      </c>
    </row>
    <row r="98" spans="1:12" x14ac:dyDescent="0.35">
      <c r="A98" t="s">
        <v>215</v>
      </c>
      <c r="B98">
        <v>45402</v>
      </c>
      <c r="C98" t="s">
        <v>216</v>
      </c>
      <c r="D98" t="s">
        <v>28</v>
      </c>
      <c r="E98" t="s">
        <v>33</v>
      </c>
      <c r="F98" t="s">
        <v>55</v>
      </c>
      <c r="G98">
        <v>1</v>
      </c>
      <c r="H98" s="2">
        <v>55</v>
      </c>
      <c r="I98" s="2">
        <v>55</v>
      </c>
      <c r="J98" s="2">
        <v>42.39</v>
      </c>
      <c r="K98" s="2">
        <v>12.61</v>
      </c>
      <c r="L98" t="s">
        <v>35</v>
      </c>
    </row>
    <row r="99" spans="1:12" x14ac:dyDescent="0.35">
      <c r="A99" t="s">
        <v>217</v>
      </c>
      <c r="B99">
        <v>45452</v>
      </c>
      <c r="C99" t="s">
        <v>218</v>
      </c>
      <c r="D99" t="s">
        <v>42</v>
      </c>
      <c r="E99" t="s">
        <v>29</v>
      </c>
      <c r="F99" t="s">
        <v>47</v>
      </c>
      <c r="G99">
        <v>4</v>
      </c>
      <c r="H99" s="2">
        <v>85</v>
      </c>
      <c r="I99" s="2">
        <v>340</v>
      </c>
      <c r="J99" s="2">
        <v>178.79</v>
      </c>
      <c r="K99" s="2">
        <v>161.21</v>
      </c>
      <c r="L99" t="s">
        <v>17</v>
      </c>
    </row>
    <row r="100" spans="1:12" x14ac:dyDescent="0.35">
      <c r="A100" t="s">
        <v>219</v>
      </c>
      <c r="B100">
        <v>45421</v>
      </c>
      <c r="C100" t="s">
        <v>220</v>
      </c>
      <c r="D100" t="s">
        <v>14</v>
      </c>
      <c r="E100" t="s">
        <v>33</v>
      </c>
      <c r="F100" t="s">
        <v>34</v>
      </c>
      <c r="G100">
        <v>3</v>
      </c>
      <c r="H100" s="2">
        <v>17</v>
      </c>
      <c r="I100" s="2">
        <v>51</v>
      </c>
      <c r="J100" s="2">
        <v>38.56</v>
      </c>
      <c r="K100" s="2">
        <v>12.44</v>
      </c>
      <c r="L100" t="s">
        <v>17</v>
      </c>
    </row>
    <row r="101" spans="1:12" x14ac:dyDescent="0.35">
      <c r="A101" t="s">
        <v>221</v>
      </c>
      <c r="B101">
        <v>45513</v>
      </c>
      <c r="C101" t="s">
        <v>222</v>
      </c>
      <c r="D101" t="s">
        <v>14</v>
      </c>
      <c r="E101" t="s">
        <v>38</v>
      </c>
      <c r="F101" t="s">
        <v>39</v>
      </c>
      <c r="G101">
        <v>2</v>
      </c>
      <c r="H101" s="2">
        <v>58</v>
      </c>
      <c r="I101" s="2">
        <v>116</v>
      </c>
      <c r="J101" s="2">
        <v>58.77</v>
      </c>
      <c r="K101" s="2">
        <v>57.23</v>
      </c>
      <c r="L101" t="s">
        <v>21</v>
      </c>
    </row>
    <row r="102" spans="1:12" x14ac:dyDescent="0.35">
      <c r="A102" t="s">
        <v>223</v>
      </c>
      <c r="B102">
        <v>45335</v>
      </c>
      <c r="C102" t="s">
        <v>224</v>
      </c>
      <c r="D102" t="s">
        <v>42</v>
      </c>
      <c r="E102" t="s">
        <v>38</v>
      </c>
      <c r="F102" t="s">
        <v>58</v>
      </c>
      <c r="G102">
        <v>2</v>
      </c>
      <c r="H102" s="2">
        <v>53</v>
      </c>
      <c r="I102" s="2">
        <v>106</v>
      </c>
      <c r="J102" s="2">
        <v>60.68</v>
      </c>
      <c r="K102" s="2">
        <v>45.32</v>
      </c>
      <c r="L102" t="s">
        <v>35</v>
      </c>
    </row>
    <row r="103" spans="1:12" x14ac:dyDescent="0.35">
      <c r="A103" t="s">
        <v>225</v>
      </c>
      <c r="B103">
        <v>45573</v>
      </c>
      <c r="C103" t="s">
        <v>49</v>
      </c>
      <c r="D103" t="s">
        <v>24</v>
      </c>
      <c r="E103" t="s">
        <v>38</v>
      </c>
      <c r="F103" t="s">
        <v>39</v>
      </c>
      <c r="G103">
        <v>1</v>
      </c>
      <c r="H103" s="2">
        <v>25</v>
      </c>
      <c r="I103" s="2">
        <v>25</v>
      </c>
      <c r="J103" s="2">
        <v>13.15</v>
      </c>
      <c r="K103" s="2">
        <v>11.85</v>
      </c>
      <c r="L103" t="s">
        <v>17</v>
      </c>
    </row>
    <row r="104" spans="1:12" x14ac:dyDescent="0.35">
      <c r="A104" t="s">
        <v>226</v>
      </c>
      <c r="B104">
        <v>45377</v>
      </c>
      <c r="C104" t="s">
        <v>118</v>
      </c>
      <c r="D104" t="s">
        <v>14</v>
      </c>
      <c r="E104" t="s">
        <v>29</v>
      </c>
      <c r="F104" t="s">
        <v>43</v>
      </c>
      <c r="G104">
        <v>1</v>
      </c>
      <c r="H104" s="2">
        <v>59</v>
      </c>
      <c r="I104" s="2">
        <v>59</v>
      </c>
      <c r="J104" s="2">
        <v>34.090000000000003</v>
      </c>
      <c r="K104" s="2">
        <v>24.91</v>
      </c>
      <c r="L104" t="s">
        <v>44</v>
      </c>
    </row>
    <row r="105" spans="1:12" x14ac:dyDescent="0.35">
      <c r="A105" t="s">
        <v>227</v>
      </c>
      <c r="B105">
        <v>45469</v>
      </c>
      <c r="C105" t="s">
        <v>228</v>
      </c>
      <c r="D105" t="s">
        <v>42</v>
      </c>
      <c r="E105" t="s">
        <v>15</v>
      </c>
      <c r="F105" t="s">
        <v>25</v>
      </c>
      <c r="G105">
        <v>3</v>
      </c>
      <c r="H105" s="2">
        <v>34</v>
      </c>
      <c r="I105" s="2">
        <v>102</v>
      </c>
      <c r="J105" s="2">
        <v>67.61</v>
      </c>
      <c r="K105" s="2">
        <v>34.39</v>
      </c>
      <c r="L105" t="s">
        <v>21</v>
      </c>
    </row>
    <row r="106" spans="1:12" x14ac:dyDescent="0.35">
      <c r="A106" t="s">
        <v>229</v>
      </c>
      <c r="B106">
        <v>45449</v>
      </c>
      <c r="C106" t="s">
        <v>230</v>
      </c>
      <c r="D106" t="s">
        <v>42</v>
      </c>
      <c r="E106" t="s">
        <v>29</v>
      </c>
      <c r="F106" t="s">
        <v>75</v>
      </c>
      <c r="G106">
        <v>2</v>
      </c>
      <c r="H106" s="2">
        <v>20</v>
      </c>
      <c r="I106" s="2">
        <v>40</v>
      </c>
      <c r="J106" s="2">
        <v>21.56</v>
      </c>
      <c r="K106" s="2">
        <v>18.440000000000001</v>
      </c>
      <c r="L106" t="s">
        <v>17</v>
      </c>
    </row>
    <row r="107" spans="1:12" x14ac:dyDescent="0.35">
      <c r="A107" t="s">
        <v>231</v>
      </c>
      <c r="B107">
        <v>45311</v>
      </c>
      <c r="C107" t="s">
        <v>228</v>
      </c>
      <c r="D107" t="s">
        <v>28</v>
      </c>
      <c r="E107" t="s">
        <v>38</v>
      </c>
      <c r="F107" t="s">
        <v>58</v>
      </c>
      <c r="G107">
        <v>1</v>
      </c>
      <c r="H107" s="2">
        <v>40</v>
      </c>
      <c r="I107" s="2">
        <v>40</v>
      </c>
      <c r="J107" s="2">
        <v>25.22</v>
      </c>
      <c r="K107" s="2">
        <v>14.78</v>
      </c>
      <c r="L107" t="s">
        <v>35</v>
      </c>
    </row>
    <row r="108" spans="1:12" x14ac:dyDescent="0.35">
      <c r="A108" t="s">
        <v>232</v>
      </c>
      <c r="B108">
        <v>45370</v>
      </c>
      <c r="C108" t="s">
        <v>70</v>
      </c>
      <c r="D108" t="s">
        <v>24</v>
      </c>
      <c r="E108" t="s">
        <v>38</v>
      </c>
      <c r="F108" t="s">
        <v>58</v>
      </c>
      <c r="G108">
        <v>3</v>
      </c>
      <c r="H108" s="2">
        <v>56</v>
      </c>
      <c r="I108" s="2">
        <v>168</v>
      </c>
      <c r="J108" s="2">
        <v>89.72</v>
      </c>
      <c r="K108" s="2">
        <v>78.28</v>
      </c>
      <c r="L108" t="s">
        <v>44</v>
      </c>
    </row>
    <row r="109" spans="1:12" x14ac:dyDescent="0.35">
      <c r="A109" t="s">
        <v>233</v>
      </c>
      <c r="B109">
        <v>45355</v>
      </c>
      <c r="C109" t="s">
        <v>234</v>
      </c>
      <c r="D109" t="s">
        <v>42</v>
      </c>
      <c r="E109" t="s">
        <v>38</v>
      </c>
      <c r="F109" t="s">
        <v>58</v>
      </c>
      <c r="G109">
        <v>5</v>
      </c>
      <c r="H109" s="2">
        <v>32</v>
      </c>
      <c r="I109" s="2">
        <v>160</v>
      </c>
      <c r="J109" s="2">
        <v>112.76</v>
      </c>
      <c r="K109" s="2">
        <v>47.24</v>
      </c>
      <c r="L109" t="s">
        <v>21</v>
      </c>
    </row>
    <row r="110" spans="1:12" x14ac:dyDescent="0.35">
      <c r="A110" t="s">
        <v>235</v>
      </c>
      <c r="B110">
        <v>45513</v>
      </c>
      <c r="C110" t="s">
        <v>236</v>
      </c>
      <c r="D110" t="s">
        <v>42</v>
      </c>
      <c r="E110" t="s">
        <v>33</v>
      </c>
      <c r="F110" t="s">
        <v>92</v>
      </c>
      <c r="G110">
        <v>1</v>
      </c>
      <c r="H110" s="2">
        <v>28</v>
      </c>
      <c r="I110" s="2">
        <v>28</v>
      </c>
      <c r="J110" s="2">
        <v>19.89</v>
      </c>
      <c r="K110" s="2">
        <v>8.11</v>
      </c>
      <c r="L110" t="s">
        <v>21</v>
      </c>
    </row>
    <row r="111" spans="1:12" x14ac:dyDescent="0.35">
      <c r="A111" t="s">
        <v>237</v>
      </c>
      <c r="B111">
        <v>45335</v>
      </c>
      <c r="C111" t="s">
        <v>105</v>
      </c>
      <c r="D111" t="s">
        <v>24</v>
      </c>
      <c r="E111" t="s">
        <v>15</v>
      </c>
      <c r="F111" t="s">
        <v>25</v>
      </c>
      <c r="G111">
        <v>4</v>
      </c>
      <c r="H111" s="2">
        <v>42</v>
      </c>
      <c r="I111" s="2">
        <v>168</v>
      </c>
      <c r="J111" s="2">
        <v>87.62</v>
      </c>
      <c r="K111" s="2">
        <v>80.38</v>
      </c>
      <c r="L111" t="s">
        <v>44</v>
      </c>
    </row>
    <row r="112" spans="1:12" x14ac:dyDescent="0.35">
      <c r="A112" t="s">
        <v>238</v>
      </c>
      <c r="B112">
        <v>45423</v>
      </c>
      <c r="C112" t="s">
        <v>239</v>
      </c>
      <c r="D112" t="s">
        <v>42</v>
      </c>
      <c r="E112" t="s">
        <v>29</v>
      </c>
      <c r="F112" t="s">
        <v>43</v>
      </c>
      <c r="G112">
        <v>3</v>
      </c>
      <c r="H112" s="2">
        <v>48</v>
      </c>
      <c r="I112" s="2">
        <v>144</v>
      </c>
      <c r="J112" s="2">
        <v>90.72</v>
      </c>
      <c r="K112" s="2">
        <v>53.28</v>
      </c>
      <c r="L112" t="s">
        <v>17</v>
      </c>
    </row>
    <row r="113" spans="1:12" x14ac:dyDescent="0.35">
      <c r="A113" t="s">
        <v>240</v>
      </c>
      <c r="B113">
        <v>45349</v>
      </c>
      <c r="C113" t="s">
        <v>241</v>
      </c>
      <c r="D113" t="s">
        <v>42</v>
      </c>
      <c r="E113" t="s">
        <v>29</v>
      </c>
      <c r="F113" t="s">
        <v>43</v>
      </c>
      <c r="G113">
        <v>2</v>
      </c>
      <c r="H113" s="2">
        <v>75</v>
      </c>
      <c r="I113" s="2">
        <v>150</v>
      </c>
      <c r="J113" s="2">
        <v>102.13</v>
      </c>
      <c r="K113" s="2">
        <v>47.87</v>
      </c>
      <c r="L113" t="s">
        <v>21</v>
      </c>
    </row>
    <row r="114" spans="1:12" x14ac:dyDescent="0.35">
      <c r="A114" t="s">
        <v>242</v>
      </c>
      <c r="B114">
        <v>45492</v>
      </c>
      <c r="C114" t="s">
        <v>243</v>
      </c>
      <c r="D114" t="s">
        <v>28</v>
      </c>
      <c r="E114" t="s">
        <v>29</v>
      </c>
      <c r="F114" t="s">
        <v>75</v>
      </c>
      <c r="G114">
        <v>5</v>
      </c>
      <c r="H114" s="2">
        <v>28</v>
      </c>
      <c r="I114" s="2">
        <v>140</v>
      </c>
      <c r="J114" s="2">
        <v>91.54</v>
      </c>
      <c r="K114" s="2">
        <v>48.46</v>
      </c>
      <c r="L114" t="s">
        <v>44</v>
      </c>
    </row>
    <row r="115" spans="1:12" x14ac:dyDescent="0.35">
      <c r="A115" t="s">
        <v>244</v>
      </c>
      <c r="B115">
        <v>45536</v>
      </c>
      <c r="C115" t="s">
        <v>245</v>
      </c>
      <c r="D115" t="s">
        <v>28</v>
      </c>
      <c r="E115" t="s">
        <v>38</v>
      </c>
      <c r="F115" t="s">
        <v>58</v>
      </c>
      <c r="G115">
        <v>1</v>
      </c>
      <c r="H115" s="2">
        <v>76</v>
      </c>
      <c r="I115" s="2">
        <v>76</v>
      </c>
      <c r="J115" s="2">
        <v>46.54</v>
      </c>
      <c r="K115" s="2">
        <v>29.46</v>
      </c>
      <c r="L115" t="s">
        <v>21</v>
      </c>
    </row>
    <row r="116" spans="1:12" x14ac:dyDescent="0.35">
      <c r="A116" t="s">
        <v>246</v>
      </c>
      <c r="B116">
        <v>45383</v>
      </c>
      <c r="C116" t="s">
        <v>207</v>
      </c>
      <c r="D116" t="s">
        <v>24</v>
      </c>
      <c r="E116" t="s">
        <v>15</v>
      </c>
      <c r="F116" t="s">
        <v>25</v>
      </c>
      <c r="G116">
        <v>5</v>
      </c>
      <c r="H116" s="2">
        <v>93</v>
      </c>
      <c r="I116" s="2">
        <v>465</v>
      </c>
      <c r="J116" s="2">
        <v>332.84</v>
      </c>
      <c r="K116" s="2">
        <v>132.16</v>
      </c>
      <c r="L116" t="s">
        <v>17</v>
      </c>
    </row>
    <row r="117" spans="1:12" x14ac:dyDescent="0.35">
      <c r="A117" t="s">
        <v>247</v>
      </c>
      <c r="B117">
        <v>45412</v>
      </c>
      <c r="C117" t="s">
        <v>118</v>
      </c>
      <c r="D117" t="s">
        <v>28</v>
      </c>
      <c r="E117" t="s">
        <v>33</v>
      </c>
      <c r="F117" t="s">
        <v>55</v>
      </c>
      <c r="G117">
        <v>5</v>
      </c>
      <c r="H117" s="2">
        <v>20</v>
      </c>
      <c r="I117" s="2">
        <v>100</v>
      </c>
      <c r="J117" s="2">
        <v>78.41</v>
      </c>
      <c r="K117" s="2">
        <v>21.59</v>
      </c>
      <c r="L117" t="s">
        <v>35</v>
      </c>
    </row>
    <row r="118" spans="1:12" x14ac:dyDescent="0.35">
      <c r="A118" t="s">
        <v>248</v>
      </c>
      <c r="B118">
        <v>45546</v>
      </c>
      <c r="C118" t="s">
        <v>249</v>
      </c>
      <c r="D118" t="s">
        <v>28</v>
      </c>
      <c r="E118" t="s">
        <v>29</v>
      </c>
      <c r="F118" t="s">
        <v>75</v>
      </c>
      <c r="G118">
        <v>5</v>
      </c>
      <c r="H118" s="2">
        <v>98</v>
      </c>
      <c r="I118" s="2">
        <v>490</v>
      </c>
      <c r="J118" s="2">
        <v>280.74</v>
      </c>
      <c r="K118" s="2">
        <v>209.26</v>
      </c>
      <c r="L118" t="s">
        <v>21</v>
      </c>
    </row>
    <row r="119" spans="1:12" x14ac:dyDescent="0.35">
      <c r="A119" t="s">
        <v>250</v>
      </c>
      <c r="B119">
        <v>45294</v>
      </c>
      <c r="C119" t="s">
        <v>251</v>
      </c>
      <c r="D119" t="s">
        <v>28</v>
      </c>
      <c r="E119" t="s">
        <v>33</v>
      </c>
      <c r="F119" t="s">
        <v>55</v>
      </c>
      <c r="G119">
        <v>5</v>
      </c>
      <c r="H119" s="2">
        <v>47</v>
      </c>
      <c r="I119" s="2">
        <v>235</v>
      </c>
      <c r="J119" s="2">
        <v>187.49</v>
      </c>
      <c r="K119" s="2">
        <v>47.51</v>
      </c>
      <c r="L119" t="s">
        <v>21</v>
      </c>
    </row>
    <row r="120" spans="1:12" x14ac:dyDescent="0.35">
      <c r="A120" t="s">
        <v>252</v>
      </c>
      <c r="B120">
        <v>45364</v>
      </c>
      <c r="C120" t="s">
        <v>253</v>
      </c>
      <c r="D120" t="s">
        <v>24</v>
      </c>
      <c r="E120" t="s">
        <v>33</v>
      </c>
      <c r="F120" t="s">
        <v>34</v>
      </c>
      <c r="G120">
        <v>3</v>
      </c>
      <c r="H120" s="2">
        <v>70</v>
      </c>
      <c r="I120" s="2">
        <v>210</v>
      </c>
      <c r="J120" s="2">
        <v>146.94</v>
      </c>
      <c r="K120" s="2">
        <v>63.06</v>
      </c>
      <c r="L120" t="s">
        <v>35</v>
      </c>
    </row>
    <row r="121" spans="1:12" x14ac:dyDescent="0.35">
      <c r="A121" t="s">
        <v>254</v>
      </c>
      <c r="B121">
        <v>45468</v>
      </c>
      <c r="C121" t="s">
        <v>255</v>
      </c>
      <c r="D121" t="s">
        <v>14</v>
      </c>
      <c r="E121" t="s">
        <v>29</v>
      </c>
      <c r="F121" t="s">
        <v>47</v>
      </c>
      <c r="G121">
        <v>3</v>
      </c>
      <c r="H121" s="2">
        <v>54</v>
      </c>
      <c r="I121" s="2">
        <v>162</v>
      </c>
      <c r="J121" s="2">
        <v>126.59</v>
      </c>
      <c r="K121" s="2">
        <v>35.409999999999997</v>
      </c>
      <c r="L121" t="s">
        <v>17</v>
      </c>
    </row>
    <row r="122" spans="1:12" x14ac:dyDescent="0.35">
      <c r="A122" t="s">
        <v>256</v>
      </c>
      <c r="B122">
        <v>45654</v>
      </c>
      <c r="C122" t="s">
        <v>257</v>
      </c>
      <c r="D122" t="s">
        <v>24</v>
      </c>
      <c r="E122" t="s">
        <v>33</v>
      </c>
      <c r="F122" t="s">
        <v>34</v>
      </c>
      <c r="G122">
        <v>1</v>
      </c>
      <c r="H122" s="2">
        <v>66</v>
      </c>
      <c r="I122" s="2">
        <v>66</v>
      </c>
      <c r="J122" s="2">
        <v>33.15</v>
      </c>
      <c r="K122" s="2">
        <v>32.85</v>
      </c>
      <c r="L122" t="s">
        <v>35</v>
      </c>
    </row>
    <row r="123" spans="1:12" x14ac:dyDescent="0.35">
      <c r="A123" t="s">
        <v>258</v>
      </c>
      <c r="B123">
        <v>45509</v>
      </c>
      <c r="C123" t="s">
        <v>259</v>
      </c>
      <c r="D123" t="s">
        <v>14</v>
      </c>
      <c r="E123" t="s">
        <v>38</v>
      </c>
      <c r="F123" t="s">
        <v>52</v>
      </c>
      <c r="G123">
        <v>3</v>
      </c>
      <c r="H123" s="2">
        <v>40</v>
      </c>
      <c r="I123" s="2">
        <v>120</v>
      </c>
      <c r="J123" s="2">
        <v>67.72</v>
      </c>
      <c r="K123" s="2">
        <v>52.28</v>
      </c>
      <c r="L123" t="s">
        <v>44</v>
      </c>
    </row>
    <row r="124" spans="1:12" x14ac:dyDescent="0.35">
      <c r="A124" t="s">
        <v>260</v>
      </c>
      <c r="B124">
        <v>45326</v>
      </c>
      <c r="C124" t="s">
        <v>120</v>
      </c>
      <c r="D124" t="s">
        <v>28</v>
      </c>
      <c r="E124" t="s">
        <v>15</v>
      </c>
      <c r="F124" t="s">
        <v>16</v>
      </c>
      <c r="G124">
        <v>4</v>
      </c>
      <c r="H124" s="2">
        <v>95</v>
      </c>
      <c r="I124" s="2">
        <v>380</v>
      </c>
      <c r="J124" s="2">
        <v>221.54</v>
      </c>
      <c r="K124" s="2">
        <v>158.46</v>
      </c>
      <c r="L124" t="s">
        <v>44</v>
      </c>
    </row>
    <row r="125" spans="1:12" x14ac:dyDescent="0.35">
      <c r="A125" t="s">
        <v>261</v>
      </c>
      <c r="B125">
        <v>45591</v>
      </c>
      <c r="C125" t="s">
        <v>262</v>
      </c>
      <c r="D125" t="s">
        <v>28</v>
      </c>
      <c r="E125" t="s">
        <v>33</v>
      </c>
      <c r="F125" t="s">
        <v>55</v>
      </c>
      <c r="G125">
        <v>1</v>
      </c>
      <c r="H125" s="2">
        <v>84</v>
      </c>
      <c r="I125" s="2">
        <v>84</v>
      </c>
      <c r="J125" s="2">
        <v>52.06</v>
      </c>
      <c r="K125" s="2">
        <v>31.94</v>
      </c>
      <c r="L125" t="s">
        <v>21</v>
      </c>
    </row>
    <row r="126" spans="1:12" x14ac:dyDescent="0.35">
      <c r="A126" t="s">
        <v>263</v>
      </c>
      <c r="B126">
        <v>45568</v>
      </c>
      <c r="C126" t="s">
        <v>241</v>
      </c>
      <c r="D126" t="s">
        <v>14</v>
      </c>
      <c r="E126" t="s">
        <v>38</v>
      </c>
      <c r="F126" t="s">
        <v>58</v>
      </c>
      <c r="G126">
        <v>4</v>
      </c>
      <c r="H126" s="2">
        <v>70</v>
      </c>
      <c r="I126" s="2">
        <v>280</v>
      </c>
      <c r="J126" s="2">
        <v>201.84</v>
      </c>
      <c r="K126" s="2">
        <v>78.16</v>
      </c>
      <c r="L126" t="s">
        <v>17</v>
      </c>
    </row>
    <row r="127" spans="1:12" x14ac:dyDescent="0.35">
      <c r="A127" t="s">
        <v>264</v>
      </c>
      <c r="B127">
        <v>45407</v>
      </c>
      <c r="C127" t="s">
        <v>27</v>
      </c>
      <c r="D127" t="s">
        <v>28</v>
      </c>
      <c r="E127" t="s">
        <v>15</v>
      </c>
      <c r="F127" t="s">
        <v>16</v>
      </c>
      <c r="G127">
        <v>3</v>
      </c>
      <c r="H127" s="2">
        <v>53</v>
      </c>
      <c r="I127" s="2">
        <v>159</v>
      </c>
      <c r="J127" s="2">
        <v>118.84</v>
      </c>
      <c r="K127" s="2">
        <v>40.159999999999997</v>
      </c>
      <c r="L127" t="s">
        <v>17</v>
      </c>
    </row>
    <row r="128" spans="1:12" x14ac:dyDescent="0.35">
      <c r="A128" t="s">
        <v>265</v>
      </c>
      <c r="B128">
        <v>45626</v>
      </c>
      <c r="C128" t="s">
        <v>266</v>
      </c>
      <c r="D128" t="s">
        <v>14</v>
      </c>
      <c r="E128" t="s">
        <v>15</v>
      </c>
      <c r="F128" t="s">
        <v>25</v>
      </c>
      <c r="G128">
        <v>2</v>
      </c>
      <c r="H128" s="2">
        <v>97</v>
      </c>
      <c r="I128" s="2">
        <v>194</v>
      </c>
      <c r="J128" s="2">
        <v>109.19</v>
      </c>
      <c r="K128" s="2">
        <v>84.81</v>
      </c>
      <c r="L128" t="s">
        <v>44</v>
      </c>
    </row>
    <row r="129" spans="1:12" x14ac:dyDescent="0.35">
      <c r="A129" t="s">
        <v>267</v>
      </c>
      <c r="B129">
        <v>45317</v>
      </c>
      <c r="C129" t="s">
        <v>268</v>
      </c>
      <c r="D129" t="s">
        <v>28</v>
      </c>
      <c r="E129" t="s">
        <v>33</v>
      </c>
      <c r="F129" t="s">
        <v>34</v>
      </c>
      <c r="G129">
        <v>1</v>
      </c>
      <c r="H129" s="2">
        <v>80</v>
      </c>
      <c r="I129" s="2">
        <v>80</v>
      </c>
      <c r="J129" s="2">
        <v>44.87</v>
      </c>
      <c r="K129" s="2">
        <v>35.130000000000003</v>
      </c>
      <c r="L129" t="s">
        <v>17</v>
      </c>
    </row>
    <row r="130" spans="1:12" x14ac:dyDescent="0.35">
      <c r="A130" t="s">
        <v>269</v>
      </c>
      <c r="B130">
        <v>45481</v>
      </c>
      <c r="C130" t="s">
        <v>270</v>
      </c>
      <c r="D130" t="s">
        <v>28</v>
      </c>
      <c r="E130" t="s">
        <v>38</v>
      </c>
      <c r="F130" t="s">
        <v>52</v>
      </c>
      <c r="G130">
        <v>1</v>
      </c>
      <c r="H130" s="2">
        <v>65</v>
      </c>
      <c r="I130" s="2">
        <v>65</v>
      </c>
      <c r="J130" s="2">
        <v>33.33</v>
      </c>
      <c r="K130" s="2">
        <v>31.67</v>
      </c>
      <c r="L130" t="s">
        <v>44</v>
      </c>
    </row>
    <row r="131" spans="1:12" x14ac:dyDescent="0.35">
      <c r="A131" t="s">
        <v>271</v>
      </c>
      <c r="B131">
        <v>45506</v>
      </c>
      <c r="C131" t="s">
        <v>60</v>
      </c>
      <c r="D131" t="s">
        <v>24</v>
      </c>
      <c r="E131" t="s">
        <v>33</v>
      </c>
      <c r="F131" t="s">
        <v>34</v>
      </c>
      <c r="G131">
        <v>1</v>
      </c>
      <c r="H131" s="2">
        <v>92</v>
      </c>
      <c r="I131" s="2">
        <v>92</v>
      </c>
      <c r="J131" s="2">
        <v>50.95</v>
      </c>
      <c r="K131" s="2">
        <v>41.05</v>
      </c>
      <c r="L131" t="s">
        <v>44</v>
      </c>
    </row>
    <row r="132" spans="1:12" x14ac:dyDescent="0.35">
      <c r="A132" t="s">
        <v>272</v>
      </c>
      <c r="B132">
        <v>45569</v>
      </c>
      <c r="C132" t="s">
        <v>273</v>
      </c>
      <c r="D132" t="s">
        <v>42</v>
      </c>
      <c r="E132" t="s">
        <v>15</v>
      </c>
      <c r="F132" t="s">
        <v>25</v>
      </c>
      <c r="G132">
        <v>2</v>
      </c>
      <c r="H132" s="2">
        <v>42</v>
      </c>
      <c r="I132" s="2">
        <v>84</v>
      </c>
      <c r="J132" s="2">
        <v>64.98</v>
      </c>
      <c r="K132" s="2">
        <v>19.02</v>
      </c>
      <c r="L132" t="s">
        <v>35</v>
      </c>
    </row>
    <row r="133" spans="1:12" x14ac:dyDescent="0.35">
      <c r="A133" t="s">
        <v>274</v>
      </c>
      <c r="B133">
        <v>45619</v>
      </c>
      <c r="C133" t="s">
        <v>275</v>
      </c>
      <c r="D133" t="s">
        <v>24</v>
      </c>
      <c r="E133" t="s">
        <v>38</v>
      </c>
      <c r="F133" t="s">
        <v>58</v>
      </c>
      <c r="G133">
        <v>3</v>
      </c>
      <c r="H133" s="2">
        <v>35</v>
      </c>
      <c r="I133" s="2">
        <v>105</v>
      </c>
      <c r="J133" s="2">
        <v>75.39</v>
      </c>
      <c r="K133" s="2">
        <v>29.61</v>
      </c>
      <c r="L133" t="s">
        <v>17</v>
      </c>
    </row>
    <row r="134" spans="1:12" x14ac:dyDescent="0.35">
      <c r="A134" t="s">
        <v>276</v>
      </c>
      <c r="B134">
        <v>45541</v>
      </c>
      <c r="C134" t="s">
        <v>277</v>
      </c>
      <c r="D134" t="s">
        <v>24</v>
      </c>
      <c r="E134" t="s">
        <v>15</v>
      </c>
      <c r="F134" t="s">
        <v>16</v>
      </c>
      <c r="G134">
        <v>3</v>
      </c>
      <c r="H134" s="2">
        <v>21</v>
      </c>
      <c r="I134" s="2">
        <v>63</v>
      </c>
      <c r="J134" s="2">
        <v>49.72</v>
      </c>
      <c r="K134" s="2">
        <v>13.28</v>
      </c>
      <c r="L134" t="s">
        <v>44</v>
      </c>
    </row>
    <row r="135" spans="1:12" x14ac:dyDescent="0.35">
      <c r="A135" t="s">
        <v>278</v>
      </c>
      <c r="B135">
        <v>45409</v>
      </c>
      <c r="C135" t="s">
        <v>279</v>
      </c>
      <c r="D135" t="s">
        <v>42</v>
      </c>
      <c r="E135" t="s">
        <v>15</v>
      </c>
      <c r="F135" t="s">
        <v>25</v>
      </c>
      <c r="G135">
        <v>3</v>
      </c>
      <c r="H135" s="2">
        <v>39</v>
      </c>
      <c r="I135" s="2">
        <v>117</v>
      </c>
      <c r="J135" s="2">
        <v>70.38</v>
      </c>
      <c r="K135" s="2">
        <v>46.62</v>
      </c>
      <c r="L135" t="s">
        <v>35</v>
      </c>
    </row>
    <row r="136" spans="1:12" x14ac:dyDescent="0.35">
      <c r="A136" t="s">
        <v>280</v>
      </c>
      <c r="B136">
        <v>45317</v>
      </c>
      <c r="C136" t="s">
        <v>268</v>
      </c>
      <c r="D136" t="s">
        <v>24</v>
      </c>
      <c r="E136" t="s">
        <v>29</v>
      </c>
      <c r="F136" t="s">
        <v>47</v>
      </c>
      <c r="G136">
        <v>3</v>
      </c>
      <c r="H136" s="2">
        <v>18</v>
      </c>
      <c r="I136" s="2">
        <v>54</v>
      </c>
      <c r="J136" s="2">
        <v>37.33</v>
      </c>
      <c r="K136" s="2">
        <v>16.670000000000002</v>
      </c>
      <c r="L136" t="s">
        <v>44</v>
      </c>
    </row>
    <row r="137" spans="1:12" x14ac:dyDescent="0.35">
      <c r="A137" t="s">
        <v>281</v>
      </c>
      <c r="B137">
        <v>45325</v>
      </c>
      <c r="C137" t="s">
        <v>282</v>
      </c>
      <c r="D137" t="s">
        <v>24</v>
      </c>
      <c r="E137" t="s">
        <v>33</v>
      </c>
      <c r="F137" t="s">
        <v>92</v>
      </c>
      <c r="G137">
        <v>3</v>
      </c>
      <c r="H137" s="2">
        <v>11</v>
      </c>
      <c r="I137" s="2">
        <v>33</v>
      </c>
      <c r="J137" s="2">
        <v>17.14</v>
      </c>
      <c r="K137" s="2">
        <v>15.86</v>
      </c>
      <c r="L137" t="s">
        <v>35</v>
      </c>
    </row>
    <row r="138" spans="1:12" x14ac:dyDescent="0.35">
      <c r="A138" t="s">
        <v>283</v>
      </c>
      <c r="B138">
        <v>45652</v>
      </c>
      <c r="C138" t="s">
        <v>284</v>
      </c>
      <c r="D138" t="s">
        <v>24</v>
      </c>
      <c r="E138" t="s">
        <v>33</v>
      </c>
      <c r="F138" t="s">
        <v>55</v>
      </c>
      <c r="G138">
        <v>5</v>
      </c>
      <c r="H138" s="2">
        <v>10</v>
      </c>
      <c r="I138" s="2">
        <v>50</v>
      </c>
      <c r="J138" s="2">
        <v>27.98</v>
      </c>
      <c r="K138" s="2">
        <v>22.02</v>
      </c>
      <c r="L138" t="s">
        <v>35</v>
      </c>
    </row>
    <row r="139" spans="1:12" x14ac:dyDescent="0.35">
      <c r="A139" t="s">
        <v>285</v>
      </c>
      <c r="B139">
        <v>45379</v>
      </c>
      <c r="C139" t="s">
        <v>286</v>
      </c>
      <c r="D139" t="s">
        <v>24</v>
      </c>
      <c r="E139" t="s">
        <v>38</v>
      </c>
      <c r="F139" t="s">
        <v>52</v>
      </c>
      <c r="G139">
        <v>2</v>
      </c>
      <c r="H139" s="2">
        <v>51</v>
      </c>
      <c r="I139" s="2">
        <v>102</v>
      </c>
      <c r="J139" s="2">
        <v>63.77</v>
      </c>
      <c r="K139" s="2">
        <v>38.229999999999997</v>
      </c>
      <c r="L139" t="s">
        <v>35</v>
      </c>
    </row>
    <row r="140" spans="1:12" x14ac:dyDescent="0.35">
      <c r="A140" t="s">
        <v>287</v>
      </c>
      <c r="B140">
        <v>45562</v>
      </c>
      <c r="C140" t="s">
        <v>288</v>
      </c>
      <c r="D140" t="s">
        <v>42</v>
      </c>
      <c r="E140" t="s">
        <v>29</v>
      </c>
      <c r="F140" t="s">
        <v>43</v>
      </c>
      <c r="G140">
        <v>4</v>
      </c>
      <c r="H140" s="2">
        <v>35</v>
      </c>
      <c r="I140" s="2">
        <v>140</v>
      </c>
      <c r="J140" s="2">
        <v>105.03</v>
      </c>
      <c r="K140" s="2">
        <v>34.97</v>
      </c>
      <c r="L140" t="s">
        <v>21</v>
      </c>
    </row>
    <row r="141" spans="1:12" x14ac:dyDescent="0.35">
      <c r="A141" t="s">
        <v>289</v>
      </c>
      <c r="B141">
        <v>45508</v>
      </c>
      <c r="C141" t="s">
        <v>279</v>
      </c>
      <c r="D141" t="s">
        <v>14</v>
      </c>
      <c r="E141" t="s">
        <v>29</v>
      </c>
      <c r="F141" t="s">
        <v>47</v>
      </c>
      <c r="G141">
        <v>4</v>
      </c>
      <c r="H141" s="2">
        <v>56</v>
      </c>
      <c r="I141" s="2">
        <v>224</v>
      </c>
      <c r="J141" s="2">
        <v>150.5</v>
      </c>
      <c r="K141" s="2">
        <v>73.5</v>
      </c>
      <c r="L141" t="s">
        <v>17</v>
      </c>
    </row>
    <row r="142" spans="1:12" x14ac:dyDescent="0.35">
      <c r="A142" t="s">
        <v>290</v>
      </c>
      <c r="B142">
        <v>45653</v>
      </c>
      <c r="C142" t="s">
        <v>257</v>
      </c>
      <c r="D142" t="s">
        <v>24</v>
      </c>
      <c r="E142" t="s">
        <v>38</v>
      </c>
      <c r="F142" t="s">
        <v>39</v>
      </c>
      <c r="G142">
        <v>3</v>
      </c>
      <c r="H142" s="2">
        <v>59</v>
      </c>
      <c r="I142" s="2">
        <v>177</v>
      </c>
      <c r="J142" s="2">
        <v>109.44</v>
      </c>
      <c r="K142" s="2">
        <v>67.56</v>
      </c>
      <c r="L142" t="s">
        <v>17</v>
      </c>
    </row>
    <row r="143" spans="1:12" x14ac:dyDescent="0.35">
      <c r="A143" t="s">
        <v>291</v>
      </c>
      <c r="B143">
        <v>45574</v>
      </c>
      <c r="C143" t="s">
        <v>181</v>
      </c>
      <c r="D143" t="s">
        <v>42</v>
      </c>
      <c r="E143" t="s">
        <v>38</v>
      </c>
      <c r="F143" t="s">
        <v>58</v>
      </c>
      <c r="G143">
        <v>5</v>
      </c>
      <c r="H143" s="2">
        <v>22</v>
      </c>
      <c r="I143" s="2">
        <v>110</v>
      </c>
      <c r="J143" s="2">
        <v>61.89</v>
      </c>
      <c r="K143" s="2">
        <v>48.11</v>
      </c>
      <c r="L143" t="s">
        <v>44</v>
      </c>
    </row>
    <row r="144" spans="1:12" x14ac:dyDescent="0.35">
      <c r="A144" t="s">
        <v>292</v>
      </c>
      <c r="B144">
        <v>45547</v>
      </c>
      <c r="C144" t="s">
        <v>293</v>
      </c>
      <c r="D144" t="s">
        <v>14</v>
      </c>
      <c r="E144" t="s">
        <v>15</v>
      </c>
      <c r="F144" t="s">
        <v>16</v>
      </c>
      <c r="G144">
        <v>1</v>
      </c>
      <c r="H144" s="2">
        <v>74</v>
      </c>
      <c r="I144" s="2">
        <v>74</v>
      </c>
      <c r="J144" s="2">
        <v>41.09</v>
      </c>
      <c r="K144" s="2">
        <v>32.909999999999997</v>
      </c>
      <c r="L144" t="s">
        <v>35</v>
      </c>
    </row>
    <row r="145" spans="1:12" x14ac:dyDescent="0.35">
      <c r="A145" t="s">
        <v>294</v>
      </c>
      <c r="B145">
        <v>45625</v>
      </c>
      <c r="C145" t="s">
        <v>138</v>
      </c>
      <c r="D145" t="s">
        <v>24</v>
      </c>
      <c r="E145" t="s">
        <v>33</v>
      </c>
      <c r="F145" t="s">
        <v>34</v>
      </c>
      <c r="G145">
        <v>1</v>
      </c>
      <c r="H145" s="2">
        <v>21</v>
      </c>
      <c r="I145" s="2">
        <v>21</v>
      </c>
      <c r="J145" s="2">
        <v>15.41</v>
      </c>
      <c r="K145" s="2">
        <v>5.59</v>
      </c>
      <c r="L145" t="s">
        <v>21</v>
      </c>
    </row>
    <row r="146" spans="1:12" x14ac:dyDescent="0.35">
      <c r="A146" t="s">
        <v>295</v>
      </c>
      <c r="B146">
        <v>45543</v>
      </c>
      <c r="C146" t="s">
        <v>296</v>
      </c>
      <c r="D146" t="s">
        <v>14</v>
      </c>
      <c r="E146" t="s">
        <v>38</v>
      </c>
      <c r="F146" t="s">
        <v>52</v>
      </c>
      <c r="G146">
        <v>1</v>
      </c>
      <c r="H146" s="2">
        <v>88</v>
      </c>
      <c r="I146" s="2">
        <v>88</v>
      </c>
      <c r="J146" s="2">
        <v>54.9</v>
      </c>
      <c r="K146" s="2">
        <v>33.1</v>
      </c>
      <c r="L146" t="s">
        <v>35</v>
      </c>
    </row>
    <row r="147" spans="1:12" x14ac:dyDescent="0.35">
      <c r="A147" t="s">
        <v>297</v>
      </c>
      <c r="B147">
        <v>45512</v>
      </c>
      <c r="C147" t="s">
        <v>298</v>
      </c>
      <c r="D147" t="s">
        <v>42</v>
      </c>
      <c r="E147" t="s">
        <v>29</v>
      </c>
      <c r="F147" t="s">
        <v>30</v>
      </c>
      <c r="G147">
        <v>3</v>
      </c>
      <c r="H147" s="2">
        <v>16</v>
      </c>
      <c r="I147" s="2">
        <v>48</v>
      </c>
      <c r="J147" s="2">
        <v>28.6</v>
      </c>
      <c r="K147" s="2">
        <v>19.399999999999999</v>
      </c>
      <c r="L147" t="s">
        <v>17</v>
      </c>
    </row>
    <row r="148" spans="1:12" x14ac:dyDescent="0.35">
      <c r="A148" t="s">
        <v>299</v>
      </c>
      <c r="B148">
        <v>45414</v>
      </c>
      <c r="C148" t="s">
        <v>120</v>
      </c>
      <c r="D148" t="s">
        <v>14</v>
      </c>
      <c r="E148" t="s">
        <v>38</v>
      </c>
      <c r="F148" t="s">
        <v>52</v>
      </c>
      <c r="G148">
        <v>4</v>
      </c>
      <c r="H148" s="2">
        <v>21</v>
      </c>
      <c r="I148" s="2">
        <v>84</v>
      </c>
      <c r="J148" s="2">
        <v>54.99</v>
      </c>
      <c r="K148" s="2">
        <v>29.01</v>
      </c>
      <c r="L148" t="s">
        <v>21</v>
      </c>
    </row>
    <row r="149" spans="1:12" x14ac:dyDescent="0.35">
      <c r="A149" t="s">
        <v>300</v>
      </c>
      <c r="B149">
        <v>45364</v>
      </c>
      <c r="C149" t="s">
        <v>41</v>
      </c>
      <c r="D149" t="s">
        <v>14</v>
      </c>
      <c r="E149" t="s">
        <v>15</v>
      </c>
      <c r="F149" t="s">
        <v>25</v>
      </c>
      <c r="G149">
        <v>2</v>
      </c>
      <c r="H149" s="2">
        <v>66</v>
      </c>
      <c r="I149" s="2">
        <v>132</v>
      </c>
      <c r="J149" s="2">
        <v>94.69</v>
      </c>
      <c r="K149" s="2">
        <v>37.31</v>
      </c>
      <c r="L149" t="s">
        <v>17</v>
      </c>
    </row>
    <row r="150" spans="1:12" x14ac:dyDescent="0.35">
      <c r="A150" t="s">
        <v>301</v>
      </c>
      <c r="B150">
        <v>45510</v>
      </c>
      <c r="C150" t="s">
        <v>302</v>
      </c>
      <c r="D150" t="s">
        <v>24</v>
      </c>
      <c r="E150" t="s">
        <v>33</v>
      </c>
      <c r="F150" t="s">
        <v>92</v>
      </c>
      <c r="G150">
        <v>4</v>
      </c>
      <c r="H150" s="2">
        <v>71</v>
      </c>
      <c r="I150" s="2">
        <v>284</v>
      </c>
      <c r="J150" s="2">
        <v>147.9</v>
      </c>
      <c r="K150" s="2">
        <v>136.1</v>
      </c>
      <c r="L150" t="s">
        <v>21</v>
      </c>
    </row>
    <row r="151" spans="1:12" x14ac:dyDescent="0.35">
      <c r="A151" t="s">
        <v>303</v>
      </c>
      <c r="B151">
        <v>45626</v>
      </c>
      <c r="C151" t="s">
        <v>304</v>
      </c>
      <c r="D151" t="s">
        <v>14</v>
      </c>
      <c r="E151" t="s">
        <v>29</v>
      </c>
      <c r="F151" t="s">
        <v>43</v>
      </c>
      <c r="G151">
        <v>4</v>
      </c>
      <c r="H151" s="2">
        <v>14</v>
      </c>
      <c r="I151" s="2">
        <v>56</v>
      </c>
      <c r="J151" s="2">
        <v>36.01</v>
      </c>
      <c r="K151" s="2">
        <v>19.989999999999998</v>
      </c>
      <c r="L151" t="s">
        <v>35</v>
      </c>
    </row>
    <row r="152" spans="1:12" x14ac:dyDescent="0.35">
      <c r="A152" t="s">
        <v>305</v>
      </c>
      <c r="B152">
        <v>45433</v>
      </c>
      <c r="C152" t="s">
        <v>62</v>
      </c>
      <c r="D152" t="s">
        <v>24</v>
      </c>
      <c r="E152" t="s">
        <v>15</v>
      </c>
      <c r="F152" t="s">
        <v>20</v>
      </c>
      <c r="G152">
        <v>1</v>
      </c>
      <c r="H152" s="2">
        <v>49</v>
      </c>
      <c r="I152" s="2">
        <v>49</v>
      </c>
      <c r="J152" s="2">
        <v>36.93</v>
      </c>
      <c r="K152" s="2">
        <v>12.07</v>
      </c>
      <c r="L152" t="s">
        <v>44</v>
      </c>
    </row>
    <row r="153" spans="1:12" x14ac:dyDescent="0.35">
      <c r="A153" t="s">
        <v>306</v>
      </c>
      <c r="B153">
        <v>45434</v>
      </c>
      <c r="C153" t="s">
        <v>23</v>
      </c>
      <c r="D153" t="s">
        <v>14</v>
      </c>
      <c r="E153" t="s">
        <v>29</v>
      </c>
      <c r="F153" t="s">
        <v>47</v>
      </c>
      <c r="G153">
        <v>3</v>
      </c>
      <c r="H153" s="2">
        <v>89</v>
      </c>
      <c r="I153" s="2">
        <v>267</v>
      </c>
      <c r="J153" s="2">
        <v>162.86000000000001</v>
      </c>
      <c r="K153" s="2">
        <v>104.14</v>
      </c>
      <c r="L153" t="s">
        <v>17</v>
      </c>
    </row>
    <row r="154" spans="1:12" x14ac:dyDescent="0.35">
      <c r="A154" t="s">
        <v>307</v>
      </c>
      <c r="B154">
        <v>45556</v>
      </c>
      <c r="C154" t="s">
        <v>308</v>
      </c>
      <c r="D154" t="s">
        <v>28</v>
      </c>
      <c r="E154" t="s">
        <v>15</v>
      </c>
      <c r="F154" t="s">
        <v>16</v>
      </c>
      <c r="G154">
        <v>5</v>
      </c>
      <c r="H154" s="2">
        <v>34</v>
      </c>
      <c r="I154" s="2">
        <v>170</v>
      </c>
      <c r="J154" s="2">
        <v>105.43</v>
      </c>
      <c r="K154" s="2">
        <v>64.569999999999993</v>
      </c>
      <c r="L154" t="s">
        <v>17</v>
      </c>
    </row>
    <row r="155" spans="1:12" x14ac:dyDescent="0.35">
      <c r="A155" t="s">
        <v>309</v>
      </c>
      <c r="B155">
        <v>45558</v>
      </c>
      <c r="C155" t="s">
        <v>27</v>
      </c>
      <c r="D155" t="s">
        <v>28</v>
      </c>
      <c r="E155" t="s">
        <v>15</v>
      </c>
      <c r="F155" t="s">
        <v>16</v>
      </c>
      <c r="G155">
        <v>3</v>
      </c>
      <c r="H155" s="2">
        <v>28</v>
      </c>
      <c r="I155" s="2">
        <v>84</v>
      </c>
      <c r="J155" s="2">
        <v>53.99</v>
      </c>
      <c r="K155" s="2">
        <v>30.01</v>
      </c>
      <c r="L155" t="s">
        <v>17</v>
      </c>
    </row>
    <row r="156" spans="1:12" x14ac:dyDescent="0.35">
      <c r="A156" t="s">
        <v>310</v>
      </c>
      <c r="B156">
        <v>45400</v>
      </c>
      <c r="C156" t="s">
        <v>105</v>
      </c>
      <c r="D156" t="s">
        <v>28</v>
      </c>
      <c r="E156" t="s">
        <v>38</v>
      </c>
      <c r="F156" t="s">
        <v>58</v>
      </c>
      <c r="G156">
        <v>5</v>
      </c>
      <c r="H156" s="2">
        <v>28</v>
      </c>
      <c r="I156" s="2">
        <v>140</v>
      </c>
      <c r="J156" s="2">
        <v>111.42</v>
      </c>
      <c r="K156" s="2">
        <v>28.58</v>
      </c>
      <c r="L156" t="s">
        <v>35</v>
      </c>
    </row>
    <row r="157" spans="1:12" x14ac:dyDescent="0.35">
      <c r="A157" t="s">
        <v>311</v>
      </c>
      <c r="B157">
        <v>45348</v>
      </c>
      <c r="C157" t="s">
        <v>312</v>
      </c>
      <c r="D157" t="s">
        <v>28</v>
      </c>
      <c r="E157" t="s">
        <v>29</v>
      </c>
      <c r="F157" t="s">
        <v>43</v>
      </c>
      <c r="G157">
        <v>3</v>
      </c>
      <c r="H157" s="2">
        <v>24</v>
      </c>
      <c r="I157" s="2">
        <v>72</v>
      </c>
      <c r="J157" s="2">
        <v>57.22</v>
      </c>
      <c r="K157" s="2">
        <v>14.78</v>
      </c>
      <c r="L157" t="s">
        <v>44</v>
      </c>
    </row>
    <row r="158" spans="1:12" x14ac:dyDescent="0.35">
      <c r="A158" t="s">
        <v>313</v>
      </c>
      <c r="B158">
        <v>45564</v>
      </c>
      <c r="C158" t="s">
        <v>125</v>
      </c>
      <c r="D158" t="s">
        <v>14</v>
      </c>
      <c r="E158" t="s">
        <v>38</v>
      </c>
      <c r="F158" t="s">
        <v>52</v>
      </c>
      <c r="G158">
        <v>1</v>
      </c>
      <c r="H158" s="2">
        <v>75</v>
      </c>
      <c r="I158" s="2">
        <v>75</v>
      </c>
      <c r="J158" s="2">
        <v>42.94</v>
      </c>
      <c r="K158" s="2">
        <v>32.06</v>
      </c>
      <c r="L158" t="s">
        <v>17</v>
      </c>
    </row>
    <row r="159" spans="1:12" x14ac:dyDescent="0.35">
      <c r="A159" t="s">
        <v>314</v>
      </c>
      <c r="B159">
        <v>45650</v>
      </c>
      <c r="C159" t="s">
        <v>109</v>
      </c>
      <c r="D159" t="s">
        <v>14</v>
      </c>
      <c r="E159" t="s">
        <v>38</v>
      </c>
      <c r="F159" t="s">
        <v>39</v>
      </c>
      <c r="G159">
        <v>1</v>
      </c>
      <c r="H159" s="2">
        <v>90</v>
      </c>
      <c r="I159" s="2">
        <v>90</v>
      </c>
      <c r="J159" s="2">
        <v>46.82</v>
      </c>
      <c r="K159" s="2">
        <v>43.18</v>
      </c>
      <c r="L159" t="s">
        <v>21</v>
      </c>
    </row>
    <row r="160" spans="1:12" x14ac:dyDescent="0.35">
      <c r="A160" t="s">
        <v>315</v>
      </c>
      <c r="B160">
        <v>45362</v>
      </c>
      <c r="C160" t="s">
        <v>239</v>
      </c>
      <c r="D160" t="s">
        <v>42</v>
      </c>
      <c r="E160" t="s">
        <v>33</v>
      </c>
      <c r="F160" t="s">
        <v>55</v>
      </c>
      <c r="G160">
        <v>5</v>
      </c>
      <c r="H160" s="2">
        <v>69</v>
      </c>
      <c r="I160" s="2">
        <v>345</v>
      </c>
      <c r="J160" s="2">
        <v>244.82</v>
      </c>
      <c r="K160" s="2">
        <v>100.18</v>
      </c>
      <c r="L160" t="s">
        <v>17</v>
      </c>
    </row>
    <row r="161" spans="1:12" x14ac:dyDescent="0.35">
      <c r="A161" t="s">
        <v>316</v>
      </c>
      <c r="B161">
        <v>45557</v>
      </c>
      <c r="C161" t="s">
        <v>205</v>
      </c>
      <c r="D161" t="s">
        <v>42</v>
      </c>
      <c r="E161" t="s">
        <v>29</v>
      </c>
      <c r="F161" t="s">
        <v>47</v>
      </c>
      <c r="G161">
        <v>4</v>
      </c>
      <c r="H161" s="2">
        <v>44</v>
      </c>
      <c r="I161" s="2">
        <v>176</v>
      </c>
      <c r="J161" s="2">
        <v>134.16999999999999</v>
      </c>
      <c r="K161" s="2">
        <v>41.83</v>
      </c>
      <c r="L161" t="s">
        <v>17</v>
      </c>
    </row>
    <row r="162" spans="1:12" x14ac:dyDescent="0.35">
      <c r="A162" t="s">
        <v>317</v>
      </c>
      <c r="B162">
        <v>45422</v>
      </c>
      <c r="C162" t="s">
        <v>165</v>
      </c>
      <c r="D162" t="s">
        <v>28</v>
      </c>
      <c r="E162" t="s">
        <v>29</v>
      </c>
      <c r="F162" t="s">
        <v>75</v>
      </c>
      <c r="G162">
        <v>5</v>
      </c>
      <c r="H162" s="2">
        <v>43</v>
      </c>
      <c r="I162" s="2">
        <v>215</v>
      </c>
      <c r="J162" s="2">
        <v>126.13</v>
      </c>
      <c r="K162" s="2">
        <v>88.87</v>
      </c>
      <c r="L162" t="s">
        <v>21</v>
      </c>
    </row>
    <row r="163" spans="1:12" x14ac:dyDescent="0.35">
      <c r="A163" t="s">
        <v>318</v>
      </c>
      <c r="B163">
        <v>45450</v>
      </c>
      <c r="C163" t="s">
        <v>224</v>
      </c>
      <c r="D163" t="s">
        <v>28</v>
      </c>
      <c r="E163" t="s">
        <v>29</v>
      </c>
      <c r="F163" t="s">
        <v>30</v>
      </c>
      <c r="G163">
        <v>2</v>
      </c>
      <c r="H163" s="2">
        <v>54</v>
      </c>
      <c r="I163" s="2">
        <v>108</v>
      </c>
      <c r="J163" s="2">
        <v>57.87</v>
      </c>
      <c r="K163" s="2">
        <v>50.13</v>
      </c>
      <c r="L163" t="s">
        <v>21</v>
      </c>
    </row>
    <row r="164" spans="1:12" x14ac:dyDescent="0.35">
      <c r="A164" t="s">
        <v>319</v>
      </c>
      <c r="B164">
        <v>45423</v>
      </c>
      <c r="C164" t="s">
        <v>320</v>
      </c>
      <c r="D164" t="s">
        <v>28</v>
      </c>
      <c r="E164" t="s">
        <v>38</v>
      </c>
      <c r="F164" t="s">
        <v>58</v>
      </c>
      <c r="G164">
        <v>3</v>
      </c>
      <c r="H164" s="2">
        <v>64</v>
      </c>
      <c r="I164" s="2">
        <v>192</v>
      </c>
      <c r="J164" s="2">
        <v>107.74</v>
      </c>
      <c r="K164" s="2">
        <v>84.26</v>
      </c>
      <c r="L164" t="s">
        <v>17</v>
      </c>
    </row>
    <row r="165" spans="1:12" x14ac:dyDescent="0.35">
      <c r="A165" t="s">
        <v>321</v>
      </c>
      <c r="B165">
        <v>45561</v>
      </c>
      <c r="C165" t="s">
        <v>222</v>
      </c>
      <c r="D165" t="s">
        <v>14</v>
      </c>
      <c r="E165" t="s">
        <v>38</v>
      </c>
      <c r="F165" t="s">
        <v>52</v>
      </c>
      <c r="G165">
        <v>4</v>
      </c>
      <c r="H165" s="2">
        <v>90</v>
      </c>
      <c r="I165" s="2">
        <v>360</v>
      </c>
      <c r="J165" s="2">
        <v>188.89</v>
      </c>
      <c r="K165" s="2">
        <v>171.11</v>
      </c>
      <c r="L165" t="s">
        <v>21</v>
      </c>
    </row>
    <row r="166" spans="1:12" x14ac:dyDescent="0.35">
      <c r="A166" t="s">
        <v>322</v>
      </c>
      <c r="B166">
        <v>45499</v>
      </c>
      <c r="C166" t="s">
        <v>257</v>
      </c>
      <c r="D166" t="s">
        <v>28</v>
      </c>
      <c r="E166" t="s">
        <v>29</v>
      </c>
      <c r="F166" t="s">
        <v>43</v>
      </c>
      <c r="G166">
        <v>3</v>
      </c>
      <c r="H166" s="2">
        <v>17</v>
      </c>
      <c r="I166" s="2">
        <v>51</v>
      </c>
      <c r="J166" s="2">
        <v>34.33</v>
      </c>
      <c r="K166" s="2">
        <v>16.670000000000002</v>
      </c>
      <c r="L166" t="s">
        <v>35</v>
      </c>
    </row>
    <row r="167" spans="1:12" x14ac:dyDescent="0.35">
      <c r="A167" t="s">
        <v>323</v>
      </c>
      <c r="B167">
        <v>45298</v>
      </c>
      <c r="C167" t="s">
        <v>173</v>
      </c>
      <c r="D167" t="s">
        <v>14</v>
      </c>
      <c r="E167" t="s">
        <v>38</v>
      </c>
      <c r="F167" t="s">
        <v>58</v>
      </c>
      <c r="G167">
        <v>1</v>
      </c>
      <c r="H167" s="2">
        <v>50</v>
      </c>
      <c r="I167" s="2">
        <v>50</v>
      </c>
      <c r="J167" s="2">
        <v>37.11</v>
      </c>
      <c r="K167" s="2">
        <v>12.89</v>
      </c>
      <c r="L167" t="s">
        <v>44</v>
      </c>
    </row>
    <row r="168" spans="1:12" x14ac:dyDescent="0.35">
      <c r="A168" t="s">
        <v>324</v>
      </c>
      <c r="B168">
        <v>45335</v>
      </c>
      <c r="C168" t="s">
        <v>266</v>
      </c>
      <c r="D168" t="s">
        <v>42</v>
      </c>
      <c r="E168" t="s">
        <v>15</v>
      </c>
      <c r="F168" t="s">
        <v>16</v>
      </c>
      <c r="G168">
        <v>4</v>
      </c>
      <c r="H168" s="2">
        <v>68</v>
      </c>
      <c r="I168" s="2">
        <v>272</v>
      </c>
      <c r="J168" s="2">
        <v>188.62</v>
      </c>
      <c r="K168" s="2">
        <v>83.38</v>
      </c>
      <c r="L168" t="s">
        <v>44</v>
      </c>
    </row>
    <row r="169" spans="1:12" x14ac:dyDescent="0.35">
      <c r="A169" t="s">
        <v>325</v>
      </c>
      <c r="B169">
        <v>45362</v>
      </c>
      <c r="C169" t="s">
        <v>326</v>
      </c>
      <c r="D169" t="s">
        <v>42</v>
      </c>
      <c r="E169" t="s">
        <v>29</v>
      </c>
      <c r="F169" t="s">
        <v>30</v>
      </c>
      <c r="G169">
        <v>3</v>
      </c>
      <c r="H169" s="2">
        <v>63</v>
      </c>
      <c r="I169" s="2">
        <v>189</v>
      </c>
      <c r="J169" s="2">
        <v>121.77</v>
      </c>
      <c r="K169" s="2">
        <v>67.23</v>
      </c>
      <c r="L169" t="s">
        <v>21</v>
      </c>
    </row>
    <row r="170" spans="1:12" x14ac:dyDescent="0.35">
      <c r="A170" t="s">
        <v>327</v>
      </c>
      <c r="B170">
        <v>45533</v>
      </c>
      <c r="C170" t="s">
        <v>328</v>
      </c>
      <c r="D170" t="s">
        <v>14</v>
      </c>
      <c r="E170" t="s">
        <v>15</v>
      </c>
      <c r="F170" t="s">
        <v>20</v>
      </c>
      <c r="G170">
        <v>3</v>
      </c>
      <c r="H170" s="2">
        <v>83</v>
      </c>
      <c r="I170" s="2">
        <v>249</v>
      </c>
      <c r="J170" s="2">
        <v>177.48</v>
      </c>
      <c r="K170" s="2">
        <v>71.52</v>
      </c>
      <c r="L170" t="s">
        <v>21</v>
      </c>
    </row>
    <row r="171" spans="1:12" x14ac:dyDescent="0.35">
      <c r="A171" t="s">
        <v>329</v>
      </c>
      <c r="B171">
        <v>45589</v>
      </c>
      <c r="C171" t="s">
        <v>330</v>
      </c>
      <c r="D171" t="s">
        <v>28</v>
      </c>
      <c r="E171" t="s">
        <v>29</v>
      </c>
      <c r="F171" t="s">
        <v>75</v>
      </c>
      <c r="G171">
        <v>2</v>
      </c>
      <c r="H171" s="2">
        <v>86</v>
      </c>
      <c r="I171" s="2">
        <v>172</v>
      </c>
      <c r="J171" s="2">
        <v>124.53</v>
      </c>
      <c r="K171" s="2">
        <v>47.47</v>
      </c>
      <c r="L171" t="s">
        <v>44</v>
      </c>
    </row>
    <row r="172" spans="1:12" x14ac:dyDescent="0.35">
      <c r="A172" t="s">
        <v>331</v>
      </c>
      <c r="B172">
        <v>45450</v>
      </c>
      <c r="C172" t="s">
        <v>332</v>
      </c>
      <c r="D172" t="s">
        <v>42</v>
      </c>
      <c r="E172" t="s">
        <v>29</v>
      </c>
      <c r="F172" t="s">
        <v>47</v>
      </c>
      <c r="G172">
        <v>2</v>
      </c>
      <c r="H172" s="2">
        <v>48</v>
      </c>
      <c r="I172" s="2">
        <v>96</v>
      </c>
      <c r="J172" s="2">
        <v>60.14</v>
      </c>
      <c r="K172" s="2">
        <v>35.86</v>
      </c>
      <c r="L172" t="s">
        <v>17</v>
      </c>
    </row>
    <row r="173" spans="1:12" x14ac:dyDescent="0.35">
      <c r="A173" t="s">
        <v>333</v>
      </c>
      <c r="B173">
        <v>45310</v>
      </c>
      <c r="C173" t="s">
        <v>334</v>
      </c>
      <c r="D173" t="s">
        <v>14</v>
      </c>
      <c r="E173" t="s">
        <v>33</v>
      </c>
      <c r="F173" t="s">
        <v>55</v>
      </c>
      <c r="G173">
        <v>3</v>
      </c>
      <c r="H173" s="2">
        <v>80</v>
      </c>
      <c r="I173" s="2">
        <v>240</v>
      </c>
      <c r="J173" s="2">
        <v>181.15</v>
      </c>
      <c r="K173" s="2">
        <v>58.85</v>
      </c>
      <c r="L173" t="s">
        <v>35</v>
      </c>
    </row>
    <row r="174" spans="1:12" x14ac:dyDescent="0.35">
      <c r="A174" t="s">
        <v>335</v>
      </c>
      <c r="B174">
        <v>45445</v>
      </c>
      <c r="C174" t="s">
        <v>312</v>
      </c>
      <c r="D174" t="s">
        <v>24</v>
      </c>
      <c r="E174" t="s">
        <v>38</v>
      </c>
      <c r="F174" t="s">
        <v>58</v>
      </c>
      <c r="G174">
        <v>4</v>
      </c>
      <c r="H174" s="2">
        <v>79</v>
      </c>
      <c r="I174" s="2">
        <v>316</v>
      </c>
      <c r="J174" s="2">
        <v>177.84</v>
      </c>
      <c r="K174" s="2">
        <v>138.16</v>
      </c>
      <c r="L174" t="s">
        <v>21</v>
      </c>
    </row>
    <row r="175" spans="1:12" x14ac:dyDescent="0.35">
      <c r="A175" t="s">
        <v>336</v>
      </c>
      <c r="B175">
        <v>45369</v>
      </c>
      <c r="C175" t="s">
        <v>157</v>
      </c>
      <c r="D175" t="s">
        <v>14</v>
      </c>
      <c r="E175" t="s">
        <v>15</v>
      </c>
      <c r="F175" t="s">
        <v>16</v>
      </c>
      <c r="G175">
        <v>4</v>
      </c>
      <c r="H175" s="2">
        <v>49</v>
      </c>
      <c r="I175" s="2">
        <v>196</v>
      </c>
      <c r="J175" s="2">
        <v>111.4</v>
      </c>
      <c r="K175" s="2">
        <v>84.6</v>
      </c>
      <c r="L175" t="s">
        <v>21</v>
      </c>
    </row>
    <row r="176" spans="1:12" x14ac:dyDescent="0.35">
      <c r="A176" t="s">
        <v>337</v>
      </c>
      <c r="B176">
        <v>45582</v>
      </c>
      <c r="C176" t="s">
        <v>338</v>
      </c>
      <c r="D176" t="s">
        <v>24</v>
      </c>
      <c r="E176" t="s">
        <v>15</v>
      </c>
      <c r="F176" t="s">
        <v>20</v>
      </c>
      <c r="G176">
        <v>5</v>
      </c>
      <c r="H176" s="2">
        <v>31</v>
      </c>
      <c r="I176" s="2">
        <v>155</v>
      </c>
      <c r="J176" s="2">
        <v>80.19</v>
      </c>
      <c r="K176" s="2">
        <v>74.81</v>
      </c>
      <c r="L176" t="s">
        <v>35</v>
      </c>
    </row>
    <row r="177" spans="1:12" x14ac:dyDescent="0.35">
      <c r="A177" t="s">
        <v>339</v>
      </c>
      <c r="B177">
        <v>45555</v>
      </c>
      <c r="C177" t="s">
        <v>340</v>
      </c>
      <c r="D177" t="s">
        <v>42</v>
      </c>
      <c r="E177" t="s">
        <v>29</v>
      </c>
      <c r="F177" t="s">
        <v>47</v>
      </c>
      <c r="G177">
        <v>2</v>
      </c>
      <c r="H177" s="2">
        <v>10</v>
      </c>
      <c r="I177" s="2">
        <v>20</v>
      </c>
      <c r="J177" s="2">
        <v>10.71</v>
      </c>
      <c r="K177" s="2">
        <v>9.2899999999999991</v>
      </c>
      <c r="L177" t="s">
        <v>21</v>
      </c>
    </row>
    <row r="178" spans="1:12" x14ac:dyDescent="0.35">
      <c r="A178" t="s">
        <v>341</v>
      </c>
      <c r="B178">
        <v>45450</v>
      </c>
      <c r="C178" t="s">
        <v>342</v>
      </c>
      <c r="D178" t="s">
        <v>42</v>
      </c>
      <c r="E178" t="s">
        <v>38</v>
      </c>
      <c r="F178" t="s">
        <v>39</v>
      </c>
      <c r="G178">
        <v>5</v>
      </c>
      <c r="H178" s="2">
        <v>80</v>
      </c>
      <c r="I178" s="2">
        <v>400</v>
      </c>
      <c r="J178" s="2">
        <v>303.58999999999997</v>
      </c>
      <c r="K178" s="2">
        <v>96.41</v>
      </c>
      <c r="L178" t="s">
        <v>17</v>
      </c>
    </row>
    <row r="179" spans="1:12" x14ac:dyDescent="0.35">
      <c r="A179" t="s">
        <v>343</v>
      </c>
      <c r="B179">
        <v>45449</v>
      </c>
      <c r="C179" t="s">
        <v>344</v>
      </c>
      <c r="D179" t="s">
        <v>42</v>
      </c>
      <c r="E179" t="s">
        <v>29</v>
      </c>
      <c r="F179" t="s">
        <v>75</v>
      </c>
      <c r="G179">
        <v>2</v>
      </c>
      <c r="H179" s="2">
        <v>92</v>
      </c>
      <c r="I179" s="2">
        <v>184</v>
      </c>
      <c r="J179" s="2">
        <v>102.8</v>
      </c>
      <c r="K179" s="2">
        <v>81.2</v>
      </c>
      <c r="L179" t="s">
        <v>17</v>
      </c>
    </row>
    <row r="180" spans="1:12" x14ac:dyDescent="0.35">
      <c r="A180" t="s">
        <v>345</v>
      </c>
      <c r="B180">
        <v>45540</v>
      </c>
      <c r="C180" t="s">
        <v>320</v>
      </c>
      <c r="D180" t="s">
        <v>24</v>
      </c>
      <c r="E180" t="s">
        <v>15</v>
      </c>
      <c r="F180" t="s">
        <v>25</v>
      </c>
      <c r="G180">
        <v>1</v>
      </c>
      <c r="H180" s="2">
        <v>52</v>
      </c>
      <c r="I180" s="2">
        <v>52</v>
      </c>
      <c r="J180" s="2">
        <v>29.16</v>
      </c>
      <c r="K180" s="2">
        <v>22.84</v>
      </c>
      <c r="L180" t="s">
        <v>17</v>
      </c>
    </row>
    <row r="181" spans="1:12" x14ac:dyDescent="0.35">
      <c r="A181" t="s">
        <v>346</v>
      </c>
      <c r="B181">
        <v>45539</v>
      </c>
      <c r="C181" t="s">
        <v>214</v>
      </c>
      <c r="D181" t="s">
        <v>42</v>
      </c>
      <c r="E181" t="s">
        <v>15</v>
      </c>
      <c r="F181" t="s">
        <v>25</v>
      </c>
      <c r="G181">
        <v>2</v>
      </c>
      <c r="H181" s="2">
        <v>68</v>
      </c>
      <c r="I181" s="2">
        <v>136</v>
      </c>
      <c r="J181" s="2">
        <v>99.81</v>
      </c>
      <c r="K181" s="2">
        <v>36.19</v>
      </c>
      <c r="L181" t="s">
        <v>21</v>
      </c>
    </row>
    <row r="182" spans="1:12" x14ac:dyDescent="0.35">
      <c r="A182" t="s">
        <v>347</v>
      </c>
      <c r="B182">
        <v>45295</v>
      </c>
      <c r="C182" t="s">
        <v>23</v>
      </c>
      <c r="D182" t="s">
        <v>14</v>
      </c>
      <c r="E182" t="s">
        <v>33</v>
      </c>
      <c r="F182" t="s">
        <v>34</v>
      </c>
      <c r="G182">
        <v>2</v>
      </c>
      <c r="H182" s="2">
        <v>69</v>
      </c>
      <c r="I182" s="2">
        <v>138</v>
      </c>
      <c r="J182" s="2">
        <v>91.48</v>
      </c>
      <c r="K182" s="2">
        <v>46.52</v>
      </c>
      <c r="L182" t="s">
        <v>35</v>
      </c>
    </row>
    <row r="183" spans="1:12" x14ac:dyDescent="0.35">
      <c r="A183" t="s">
        <v>348</v>
      </c>
      <c r="B183">
        <v>45297</v>
      </c>
      <c r="C183" t="s">
        <v>349</v>
      </c>
      <c r="D183" t="s">
        <v>24</v>
      </c>
      <c r="E183" t="s">
        <v>15</v>
      </c>
      <c r="F183" t="s">
        <v>25</v>
      </c>
      <c r="G183">
        <v>5</v>
      </c>
      <c r="H183" s="2">
        <v>10</v>
      </c>
      <c r="I183" s="2">
        <v>50</v>
      </c>
      <c r="J183" s="2">
        <v>34.54</v>
      </c>
      <c r="K183" s="2">
        <v>15.46</v>
      </c>
      <c r="L183" t="s">
        <v>35</v>
      </c>
    </row>
    <row r="184" spans="1:12" x14ac:dyDescent="0.35">
      <c r="A184" t="s">
        <v>350</v>
      </c>
      <c r="B184">
        <v>45603</v>
      </c>
      <c r="C184" t="s">
        <v>167</v>
      </c>
      <c r="D184" t="s">
        <v>24</v>
      </c>
      <c r="E184" t="s">
        <v>29</v>
      </c>
      <c r="F184" t="s">
        <v>75</v>
      </c>
      <c r="G184">
        <v>4</v>
      </c>
      <c r="H184" s="2">
        <v>96</v>
      </c>
      <c r="I184" s="2">
        <v>384</v>
      </c>
      <c r="J184" s="2">
        <v>289.22000000000003</v>
      </c>
      <c r="K184" s="2">
        <v>94.78</v>
      </c>
      <c r="L184" t="s">
        <v>44</v>
      </c>
    </row>
    <row r="185" spans="1:12" x14ac:dyDescent="0.35">
      <c r="A185" t="s">
        <v>351</v>
      </c>
      <c r="B185">
        <v>45431</v>
      </c>
      <c r="C185" t="s">
        <v>352</v>
      </c>
      <c r="D185" t="s">
        <v>24</v>
      </c>
      <c r="E185" t="s">
        <v>15</v>
      </c>
      <c r="F185" t="s">
        <v>16</v>
      </c>
      <c r="G185">
        <v>3</v>
      </c>
      <c r="H185" s="2">
        <v>100</v>
      </c>
      <c r="I185" s="2">
        <v>300</v>
      </c>
      <c r="J185" s="2">
        <v>204.12</v>
      </c>
      <c r="K185" s="2">
        <v>95.88</v>
      </c>
      <c r="L185" t="s">
        <v>21</v>
      </c>
    </row>
    <row r="186" spans="1:12" x14ac:dyDescent="0.35">
      <c r="A186" t="s">
        <v>353</v>
      </c>
      <c r="B186">
        <v>45462</v>
      </c>
      <c r="C186" t="s">
        <v>354</v>
      </c>
      <c r="D186" t="s">
        <v>24</v>
      </c>
      <c r="E186" t="s">
        <v>15</v>
      </c>
      <c r="F186" t="s">
        <v>25</v>
      </c>
      <c r="G186">
        <v>3</v>
      </c>
      <c r="H186" s="2">
        <v>62</v>
      </c>
      <c r="I186" s="2">
        <v>186</v>
      </c>
      <c r="J186" s="2">
        <v>144.75</v>
      </c>
      <c r="K186" s="2">
        <v>41.25</v>
      </c>
      <c r="L186" t="s">
        <v>35</v>
      </c>
    </row>
    <row r="187" spans="1:12" x14ac:dyDescent="0.35">
      <c r="A187" t="s">
        <v>355</v>
      </c>
      <c r="B187">
        <v>45372</v>
      </c>
      <c r="C187" t="s">
        <v>107</v>
      </c>
      <c r="D187" t="s">
        <v>42</v>
      </c>
      <c r="E187" t="s">
        <v>15</v>
      </c>
      <c r="F187" t="s">
        <v>25</v>
      </c>
      <c r="G187">
        <v>4</v>
      </c>
      <c r="H187" s="2">
        <v>55</v>
      </c>
      <c r="I187" s="2">
        <v>220</v>
      </c>
      <c r="J187" s="2">
        <v>155.36000000000001</v>
      </c>
      <c r="K187" s="2">
        <v>64.64</v>
      </c>
      <c r="L187" t="s">
        <v>35</v>
      </c>
    </row>
    <row r="188" spans="1:12" x14ac:dyDescent="0.35">
      <c r="A188" t="s">
        <v>356</v>
      </c>
      <c r="B188">
        <v>45459</v>
      </c>
      <c r="C188" t="s">
        <v>99</v>
      </c>
      <c r="D188" t="s">
        <v>28</v>
      </c>
      <c r="E188" t="s">
        <v>33</v>
      </c>
      <c r="F188" t="s">
        <v>34</v>
      </c>
      <c r="G188">
        <v>1</v>
      </c>
      <c r="H188" s="2">
        <v>89</v>
      </c>
      <c r="I188" s="2">
        <v>89</v>
      </c>
      <c r="J188" s="2">
        <v>47.75</v>
      </c>
      <c r="K188" s="2">
        <v>41.25</v>
      </c>
      <c r="L188" t="s">
        <v>44</v>
      </c>
    </row>
    <row r="189" spans="1:12" x14ac:dyDescent="0.35">
      <c r="A189" t="s">
        <v>357</v>
      </c>
      <c r="B189">
        <v>45435</v>
      </c>
      <c r="C189" t="s">
        <v>358</v>
      </c>
      <c r="D189" t="s">
        <v>14</v>
      </c>
      <c r="E189" t="s">
        <v>38</v>
      </c>
      <c r="F189" t="s">
        <v>52</v>
      </c>
      <c r="G189">
        <v>5</v>
      </c>
      <c r="H189" s="2">
        <v>38</v>
      </c>
      <c r="I189" s="2">
        <v>190</v>
      </c>
      <c r="J189" s="2">
        <v>150.9</v>
      </c>
      <c r="K189" s="2">
        <v>39.1</v>
      </c>
      <c r="L189" t="s">
        <v>21</v>
      </c>
    </row>
    <row r="190" spans="1:12" x14ac:dyDescent="0.35">
      <c r="A190" t="s">
        <v>359</v>
      </c>
      <c r="B190">
        <v>45595</v>
      </c>
      <c r="C190" t="s">
        <v>46</v>
      </c>
      <c r="D190" t="s">
        <v>42</v>
      </c>
      <c r="E190" t="s">
        <v>33</v>
      </c>
      <c r="F190" t="s">
        <v>55</v>
      </c>
      <c r="G190">
        <v>2</v>
      </c>
      <c r="H190" s="2">
        <v>57</v>
      </c>
      <c r="I190" s="2">
        <v>114</v>
      </c>
      <c r="J190" s="2">
        <v>61.32</v>
      </c>
      <c r="K190" s="2">
        <v>52.68</v>
      </c>
      <c r="L190" t="s">
        <v>35</v>
      </c>
    </row>
    <row r="191" spans="1:12" x14ac:dyDescent="0.35">
      <c r="A191" t="s">
        <v>360</v>
      </c>
      <c r="B191">
        <v>45394</v>
      </c>
      <c r="C191" t="s">
        <v>298</v>
      </c>
      <c r="D191" t="s">
        <v>42</v>
      </c>
      <c r="E191" t="s">
        <v>15</v>
      </c>
      <c r="F191" t="s">
        <v>20</v>
      </c>
      <c r="G191">
        <v>4</v>
      </c>
      <c r="H191" s="2">
        <v>82</v>
      </c>
      <c r="I191" s="2">
        <v>328</v>
      </c>
      <c r="J191" s="2">
        <v>258.44</v>
      </c>
      <c r="K191" s="2">
        <v>69.56</v>
      </c>
      <c r="L191" t="s">
        <v>44</v>
      </c>
    </row>
    <row r="192" spans="1:12" x14ac:dyDescent="0.35">
      <c r="A192" t="s">
        <v>361</v>
      </c>
      <c r="B192">
        <v>45298</v>
      </c>
      <c r="C192" t="s">
        <v>150</v>
      </c>
      <c r="D192" t="s">
        <v>42</v>
      </c>
      <c r="E192" t="s">
        <v>33</v>
      </c>
      <c r="F192" t="s">
        <v>92</v>
      </c>
      <c r="G192">
        <v>1</v>
      </c>
      <c r="H192" s="2">
        <v>51</v>
      </c>
      <c r="I192" s="2">
        <v>51</v>
      </c>
      <c r="J192" s="2">
        <v>32.92</v>
      </c>
      <c r="K192" s="2">
        <v>18.079999999999998</v>
      </c>
      <c r="L192" t="s">
        <v>35</v>
      </c>
    </row>
    <row r="193" spans="1:12" x14ac:dyDescent="0.35">
      <c r="A193" t="s">
        <v>362</v>
      </c>
      <c r="B193">
        <v>45572</v>
      </c>
      <c r="C193" t="s">
        <v>288</v>
      </c>
      <c r="D193" t="s">
        <v>24</v>
      </c>
      <c r="E193" t="s">
        <v>15</v>
      </c>
      <c r="F193" t="s">
        <v>16</v>
      </c>
      <c r="G193">
        <v>1</v>
      </c>
      <c r="H193" s="2">
        <v>92</v>
      </c>
      <c r="I193" s="2">
        <v>92</v>
      </c>
      <c r="J193" s="2">
        <v>62.89</v>
      </c>
      <c r="K193" s="2">
        <v>29.11</v>
      </c>
      <c r="L193" t="s">
        <v>17</v>
      </c>
    </row>
    <row r="194" spans="1:12" x14ac:dyDescent="0.35">
      <c r="A194" t="s">
        <v>363</v>
      </c>
      <c r="B194">
        <v>45421</v>
      </c>
      <c r="C194" t="s">
        <v>23</v>
      </c>
      <c r="D194" t="s">
        <v>14</v>
      </c>
      <c r="E194" t="s">
        <v>33</v>
      </c>
      <c r="F194" t="s">
        <v>34</v>
      </c>
      <c r="G194">
        <v>3</v>
      </c>
      <c r="H194" s="2">
        <v>43</v>
      </c>
      <c r="I194" s="2">
        <v>129</v>
      </c>
      <c r="J194" s="2">
        <v>95.97</v>
      </c>
      <c r="K194" s="2">
        <v>33.03</v>
      </c>
      <c r="L194" t="s">
        <v>17</v>
      </c>
    </row>
    <row r="195" spans="1:12" x14ac:dyDescent="0.35">
      <c r="A195" t="s">
        <v>364</v>
      </c>
      <c r="B195">
        <v>45615</v>
      </c>
      <c r="C195" t="s">
        <v>365</v>
      </c>
      <c r="D195" t="s">
        <v>14</v>
      </c>
      <c r="E195" t="s">
        <v>15</v>
      </c>
      <c r="F195" t="s">
        <v>25</v>
      </c>
      <c r="G195">
        <v>3</v>
      </c>
      <c r="H195" s="2">
        <v>76</v>
      </c>
      <c r="I195" s="2">
        <v>228</v>
      </c>
      <c r="J195" s="2">
        <v>140.05000000000001</v>
      </c>
      <c r="K195" s="2">
        <v>87.95</v>
      </c>
      <c r="L195" t="s">
        <v>35</v>
      </c>
    </row>
    <row r="196" spans="1:12" x14ac:dyDescent="0.35">
      <c r="A196" t="s">
        <v>366</v>
      </c>
      <c r="B196">
        <v>45539</v>
      </c>
      <c r="C196" t="s">
        <v>251</v>
      </c>
      <c r="D196" t="s">
        <v>14</v>
      </c>
      <c r="E196" t="s">
        <v>33</v>
      </c>
      <c r="F196" t="s">
        <v>92</v>
      </c>
      <c r="G196">
        <v>4</v>
      </c>
      <c r="H196" s="2">
        <v>33</v>
      </c>
      <c r="I196" s="2">
        <v>132</v>
      </c>
      <c r="J196" s="2">
        <v>100.67</v>
      </c>
      <c r="K196" s="2">
        <v>31.33</v>
      </c>
      <c r="L196" t="s">
        <v>21</v>
      </c>
    </row>
    <row r="197" spans="1:12" x14ac:dyDescent="0.35">
      <c r="A197" t="s">
        <v>367</v>
      </c>
      <c r="B197">
        <v>45313</v>
      </c>
      <c r="C197" t="s">
        <v>308</v>
      </c>
      <c r="D197" t="s">
        <v>28</v>
      </c>
      <c r="E197" t="s">
        <v>15</v>
      </c>
      <c r="F197" t="s">
        <v>25</v>
      </c>
      <c r="G197">
        <v>5</v>
      </c>
      <c r="H197" s="2">
        <v>69</v>
      </c>
      <c r="I197" s="2">
        <v>345</v>
      </c>
      <c r="J197" s="2">
        <v>196.54</v>
      </c>
      <c r="K197" s="2">
        <v>148.46</v>
      </c>
      <c r="L197" t="s">
        <v>44</v>
      </c>
    </row>
    <row r="198" spans="1:12" x14ac:dyDescent="0.35">
      <c r="A198" t="s">
        <v>368</v>
      </c>
      <c r="B198">
        <v>45301</v>
      </c>
      <c r="C198" t="s">
        <v>369</v>
      </c>
      <c r="D198" t="s">
        <v>42</v>
      </c>
      <c r="E198" t="s">
        <v>33</v>
      </c>
      <c r="F198" t="s">
        <v>92</v>
      </c>
      <c r="G198">
        <v>4</v>
      </c>
      <c r="H198" s="2">
        <v>16</v>
      </c>
      <c r="I198" s="2">
        <v>64</v>
      </c>
      <c r="J198" s="2">
        <v>50.01</v>
      </c>
      <c r="K198" s="2">
        <v>13.99</v>
      </c>
      <c r="L198" t="s">
        <v>17</v>
      </c>
    </row>
    <row r="199" spans="1:12" x14ac:dyDescent="0.35">
      <c r="A199" t="s">
        <v>370</v>
      </c>
      <c r="B199">
        <v>45293</v>
      </c>
      <c r="C199" t="s">
        <v>116</v>
      </c>
      <c r="D199" t="s">
        <v>14</v>
      </c>
      <c r="E199" t="s">
        <v>38</v>
      </c>
      <c r="F199" t="s">
        <v>52</v>
      </c>
      <c r="G199">
        <v>5</v>
      </c>
      <c r="H199" s="2">
        <v>39</v>
      </c>
      <c r="I199" s="2">
        <v>195</v>
      </c>
      <c r="J199" s="2">
        <v>117.54</v>
      </c>
      <c r="K199" s="2">
        <v>77.459999999999994</v>
      </c>
      <c r="L199" t="s">
        <v>17</v>
      </c>
    </row>
    <row r="200" spans="1:12" x14ac:dyDescent="0.35">
      <c r="A200" t="s">
        <v>371</v>
      </c>
      <c r="B200">
        <v>45419</v>
      </c>
      <c r="C200" t="s">
        <v>352</v>
      </c>
      <c r="D200" t="s">
        <v>28</v>
      </c>
      <c r="E200" t="s">
        <v>33</v>
      </c>
      <c r="F200" t="s">
        <v>92</v>
      </c>
      <c r="G200">
        <v>5</v>
      </c>
      <c r="H200" s="2">
        <v>61</v>
      </c>
      <c r="I200" s="2">
        <v>305</v>
      </c>
      <c r="J200" s="2">
        <v>185.74</v>
      </c>
      <c r="K200" s="2">
        <v>119.26</v>
      </c>
      <c r="L200" t="s">
        <v>44</v>
      </c>
    </row>
    <row r="201" spans="1:12" x14ac:dyDescent="0.35">
      <c r="A201" t="s">
        <v>372</v>
      </c>
      <c r="B201">
        <v>45466</v>
      </c>
      <c r="C201" t="s">
        <v>373</v>
      </c>
      <c r="D201" t="s">
        <v>14</v>
      </c>
      <c r="E201" t="s">
        <v>33</v>
      </c>
      <c r="F201" t="s">
        <v>34</v>
      </c>
      <c r="G201">
        <v>4</v>
      </c>
      <c r="H201" s="2">
        <v>22</v>
      </c>
      <c r="I201" s="2">
        <v>88</v>
      </c>
      <c r="J201" s="2">
        <v>49.36</v>
      </c>
      <c r="K201" s="2">
        <v>38.64</v>
      </c>
      <c r="L201" t="s">
        <v>17</v>
      </c>
    </row>
    <row r="202" spans="1:12" x14ac:dyDescent="0.35">
      <c r="A202" t="s">
        <v>374</v>
      </c>
      <c r="B202">
        <v>45398</v>
      </c>
      <c r="C202" t="s">
        <v>144</v>
      </c>
      <c r="D202" t="s">
        <v>42</v>
      </c>
      <c r="E202" t="s">
        <v>15</v>
      </c>
      <c r="F202" t="s">
        <v>20</v>
      </c>
      <c r="G202">
        <v>1</v>
      </c>
      <c r="H202" s="2">
        <v>57</v>
      </c>
      <c r="I202" s="2">
        <v>57</v>
      </c>
      <c r="J202" s="2">
        <v>33.49</v>
      </c>
      <c r="K202" s="2">
        <v>23.51</v>
      </c>
      <c r="L202" t="s">
        <v>17</v>
      </c>
    </row>
    <row r="203" spans="1:12" x14ac:dyDescent="0.35">
      <c r="A203" t="s">
        <v>375</v>
      </c>
      <c r="B203">
        <v>45600</v>
      </c>
      <c r="C203" t="s">
        <v>376</v>
      </c>
      <c r="D203" t="s">
        <v>14</v>
      </c>
      <c r="E203" t="s">
        <v>15</v>
      </c>
      <c r="F203" t="s">
        <v>25</v>
      </c>
      <c r="G203">
        <v>3</v>
      </c>
      <c r="H203" s="2">
        <v>42</v>
      </c>
      <c r="I203" s="2">
        <v>126</v>
      </c>
      <c r="J203" s="2">
        <v>79.61</v>
      </c>
      <c r="K203" s="2">
        <v>46.39</v>
      </c>
      <c r="L203" t="s">
        <v>21</v>
      </c>
    </row>
    <row r="204" spans="1:12" x14ac:dyDescent="0.35">
      <c r="A204" t="s">
        <v>377</v>
      </c>
      <c r="B204">
        <v>45442</v>
      </c>
      <c r="C204" t="s">
        <v>378</v>
      </c>
      <c r="D204" t="s">
        <v>14</v>
      </c>
      <c r="E204" t="s">
        <v>15</v>
      </c>
      <c r="F204" t="s">
        <v>25</v>
      </c>
      <c r="G204">
        <v>2</v>
      </c>
      <c r="H204" s="2">
        <v>30</v>
      </c>
      <c r="I204" s="2">
        <v>60</v>
      </c>
      <c r="J204" s="2">
        <v>34.74</v>
      </c>
      <c r="K204" s="2">
        <v>25.26</v>
      </c>
      <c r="L204" t="s">
        <v>17</v>
      </c>
    </row>
    <row r="205" spans="1:12" x14ac:dyDescent="0.35">
      <c r="A205" t="s">
        <v>379</v>
      </c>
      <c r="B205">
        <v>45528</v>
      </c>
      <c r="C205" t="s">
        <v>380</v>
      </c>
      <c r="D205" t="s">
        <v>42</v>
      </c>
      <c r="E205" t="s">
        <v>15</v>
      </c>
      <c r="F205" t="s">
        <v>20</v>
      </c>
      <c r="G205">
        <v>3</v>
      </c>
      <c r="H205" s="2">
        <v>36</v>
      </c>
      <c r="I205" s="2">
        <v>108</v>
      </c>
      <c r="J205" s="2">
        <v>76.680000000000007</v>
      </c>
      <c r="K205" s="2">
        <v>31.32</v>
      </c>
      <c r="L205" t="s">
        <v>21</v>
      </c>
    </row>
    <row r="206" spans="1:12" x14ac:dyDescent="0.35">
      <c r="A206" t="s">
        <v>381</v>
      </c>
      <c r="B206">
        <v>45594</v>
      </c>
      <c r="C206" t="s">
        <v>95</v>
      </c>
      <c r="D206" t="s">
        <v>24</v>
      </c>
      <c r="E206" t="s">
        <v>33</v>
      </c>
      <c r="F206" t="s">
        <v>34</v>
      </c>
      <c r="G206">
        <v>1</v>
      </c>
      <c r="H206" s="2">
        <v>20</v>
      </c>
      <c r="I206" s="2">
        <v>20</v>
      </c>
      <c r="J206" s="2">
        <v>14.61</v>
      </c>
      <c r="K206" s="2">
        <v>5.39</v>
      </c>
      <c r="L206" t="s">
        <v>35</v>
      </c>
    </row>
    <row r="207" spans="1:12" x14ac:dyDescent="0.35">
      <c r="A207" t="s">
        <v>382</v>
      </c>
      <c r="B207">
        <v>45643</v>
      </c>
      <c r="C207" t="s">
        <v>383</v>
      </c>
      <c r="D207" t="s">
        <v>14</v>
      </c>
      <c r="E207" t="s">
        <v>33</v>
      </c>
      <c r="F207" t="s">
        <v>92</v>
      </c>
      <c r="G207">
        <v>1</v>
      </c>
      <c r="H207" s="2">
        <v>45</v>
      </c>
      <c r="I207" s="2">
        <v>45</v>
      </c>
      <c r="J207" s="2">
        <v>35.69</v>
      </c>
      <c r="K207" s="2">
        <v>9.31</v>
      </c>
      <c r="L207" t="s">
        <v>17</v>
      </c>
    </row>
    <row r="208" spans="1:12" x14ac:dyDescent="0.35">
      <c r="A208" t="s">
        <v>384</v>
      </c>
      <c r="B208">
        <v>45567</v>
      </c>
      <c r="C208" t="s">
        <v>201</v>
      </c>
      <c r="D208" t="s">
        <v>24</v>
      </c>
      <c r="E208" t="s">
        <v>38</v>
      </c>
      <c r="F208" t="s">
        <v>39</v>
      </c>
      <c r="G208">
        <v>5</v>
      </c>
      <c r="H208" s="2">
        <v>13</v>
      </c>
      <c r="I208" s="2">
        <v>65</v>
      </c>
      <c r="J208" s="2">
        <v>49.39</v>
      </c>
      <c r="K208" s="2">
        <v>15.61</v>
      </c>
      <c r="L208" t="s">
        <v>17</v>
      </c>
    </row>
    <row r="209" spans="1:12" x14ac:dyDescent="0.35">
      <c r="A209" t="s">
        <v>385</v>
      </c>
      <c r="B209">
        <v>45451</v>
      </c>
      <c r="C209" t="s">
        <v>270</v>
      </c>
      <c r="D209" t="s">
        <v>14</v>
      </c>
      <c r="E209" t="s">
        <v>38</v>
      </c>
      <c r="F209" t="s">
        <v>58</v>
      </c>
      <c r="G209">
        <v>4</v>
      </c>
      <c r="H209" s="2">
        <v>13</v>
      </c>
      <c r="I209" s="2">
        <v>52</v>
      </c>
      <c r="J209" s="2">
        <v>27.36</v>
      </c>
      <c r="K209" s="2">
        <v>24.64</v>
      </c>
      <c r="L209" t="s">
        <v>17</v>
      </c>
    </row>
    <row r="210" spans="1:12" x14ac:dyDescent="0.35">
      <c r="A210" t="s">
        <v>386</v>
      </c>
      <c r="B210">
        <v>45328</v>
      </c>
      <c r="C210" t="s">
        <v>99</v>
      </c>
      <c r="D210" t="s">
        <v>24</v>
      </c>
      <c r="E210" t="s">
        <v>15</v>
      </c>
      <c r="F210" t="s">
        <v>20</v>
      </c>
      <c r="G210">
        <v>4</v>
      </c>
      <c r="H210" s="2">
        <v>78</v>
      </c>
      <c r="I210" s="2">
        <v>312</v>
      </c>
      <c r="J210" s="2">
        <v>189.74</v>
      </c>
      <c r="K210" s="2">
        <v>122.26</v>
      </c>
      <c r="L210" t="s">
        <v>17</v>
      </c>
    </row>
    <row r="211" spans="1:12" x14ac:dyDescent="0.35">
      <c r="A211" t="s">
        <v>387</v>
      </c>
      <c r="B211">
        <v>45651</v>
      </c>
      <c r="C211" t="s">
        <v>122</v>
      </c>
      <c r="D211" t="s">
        <v>42</v>
      </c>
      <c r="E211" t="s">
        <v>15</v>
      </c>
      <c r="F211" t="s">
        <v>25</v>
      </c>
      <c r="G211">
        <v>4</v>
      </c>
      <c r="H211" s="2">
        <v>64</v>
      </c>
      <c r="I211" s="2">
        <v>256</v>
      </c>
      <c r="J211" s="2">
        <v>181.64</v>
      </c>
      <c r="K211" s="2">
        <v>74.36</v>
      </c>
      <c r="L211" t="s">
        <v>35</v>
      </c>
    </row>
    <row r="212" spans="1:12" x14ac:dyDescent="0.35">
      <c r="A212" t="s">
        <v>388</v>
      </c>
      <c r="B212">
        <v>45447</v>
      </c>
      <c r="C212" t="s">
        <v>389</v>
      </c>
      <c r="D212" t="s">
        <v>42</v>
      </c>
      <c r="E212" t="s">
        <v>38</v>
      </c>
      <c r="F212" t="s">
        <v>58</v>
      </c>
      <c r="G212">
        <v>5</v>
      </c>
      <c r="H212" s="2">
        <v>70</v>
      </c>
      <c r="I212" s="2">
        <v>350</v>
      </c>
      <c r="J212" s="2">
        <v>250.65</v>
      </c>
      <c r="K212" s="2">
        <v>99.35</v>
      </c>
      <c r="L212" t="s">
        <v>17</v>
      </c>
    </row>
    <row r="213" spans="1:12" x14ac:dyDescent="0.35">
      <c r="A213" t="s">
        <v>390</v>
      </c>
      <c r="B213">
        <v>45587</v>
      </c>
      <c r="C213" t="s">
        <v>391</v>
      </c>
      <c r="D213" t="s">
        <v>42</v>
      </c>
      <c r="E213" t="s">
        <v>15</v>
      </c>
      <c r="F213" t="s">
        <v>25</v>
      </c>
      <c r="G213">
        <v>3</v>
      </c>
      <c r="H213" s="2">
        <v>96</v>
      </c>
      <c r="I213" s="2">
        <v>288</v>
      </c>
      <c r="J213" s="2">
        <v>170.93</v>
      </c>
      <c r="K213" s="2">
        <v>117.07</v>
      </c>
      <c r="L213" t="s">
        <v>44</v>
      </c>
    </row>
    <row r="214" spans="1:12" x14ac:dyDescent="0.35">
      <c r="A214" t="s">
        <v>392</v>
      </c>
      <c r="B214">
        <v>45604</v>
      </c>
      <c r="C214" t="s">
        <v>99</v>
      </c>
      <c r="D214" t="s">
        <v>42</v>
      </c>
      <c r="E214" t="s">
        <v>33</v>
      </c>
      <c r="F214" t="s">
        <v>34</v>
      </c>
      <c r="G214">
        <v>2</v>
      </c>
      <c r="H214" s="2">
        <v>20</v>
      </c>
      <c r="I214" s="2">
        <v>40</v>
      </c>
      <c r="J214" s="2">
        <v>27.69</v>
      </c>
      <c r="K214" s="2">
        <v>12.31</v>
      </c>
      <c r="L214" t="s">
        <v>35</v>
      </c>
    </row>
    <row r="215" spans="1:12" x14ac:dyDescent="0.35">
      <c r="A215" t="s">
        <v>393</v>
      </c>
      <c r="B215">
        <v>45599</v>
      </c>
      <c r="C215" t="s">
        <v>394</v>
      </c>
      <c r="D215" t="s">
        <v>42</v>
      </c>
      <c r="E215" t="s">
        <v>38</v>
      </c>
      <c r="F215" t="s">
        <v>58</v>
      </c>
      <c r="G215">
        <v>3</v>
      </c>
      <c r="H215" s="2">
        <v>64</v>
      </c>
      <c r="I215" s="2">
        <v>192</v>
      </c>
      <c r="J215" s="2">
        <v>112.95</v>
      </c>
      <c r="K215" s="2">
        <v>79.05</v>
      </c>
      <c r="L215" t="s">
        <v>35</v>
      </c>
    </row>
    <row r="216" spans="1:12" x14ac:dyDescent="0.35">
      <c r="A216" t="s">
        <v>395</v>
      </c>
      <c r="B216">
        <v>45564</v>
      </c>
      <c r="C216" t="s">
        <v>239</v>
      </c>
      <c r="D216" t="s">
        <v>24</v>
      </c>
      <c r="E216" t="s">
        <v>29</v>
      </c>
      <c r="F216" t="s">
        <v>43</v>
      </c>
      <c r="G216">
        <v>4</v>
      </c>
      <c r="H216" s="2">
        <v>93</v>
      </c>
      <c r="I216" s="2">
        <v>372</v>
      </c>
      <c r="J216" s="2">
        <v>221.67</v>
      </c>
      <c r="K216" s="2">
        <v>150.33000000000001</v>
      </c>
      <c r="L216" t="s">
        <v>21</v>
      </c>
    </row>
    <row r="217" spans="1:12" x14ac:dyDescent="0.35">
      <c r="A217" t="s">
        <v>396</v>
      </c>
      <c r="B217">
        <v>45642</v>
      </c>
      <c r="C217" t="s">
        <v>173</v>
      </c>
      <c r="D217" t="s">
        <v>42</v>
      </c>
      <c r="E217" t="s">
        <v>33</v>
      </c>
      <c r="F217" t="s">
        <v>55</v>
      </c>
      <c r="G217">
        <v>5</v>
      </c>
      <c r="H217" s="2">
        <v>43</v>
      </c>
      <c r="I217" s="2">
        <v>215</v>
      </c>
      <c r="J217" s="2">
        <v>139.47999999999999</v>
      </c>
      <c r="K217" s="2">
        <v>75.52</v>
      </c>
      <c r="L217" t="s">
        <v>21</v>
      </c>
    </row>
    <row r="218" spans="1:12" x14ac:dyDescent="0.35">
      <c r="A218" t="s">
        <v>397</v>
      </c>
      <c r="B218">
        <v>45521</v>
      </c>
      <c r="C218" t="s">
        <v>398</v>
      </c>
      <c r="D218" t="s">
        <v>42</v>
      </c>
      <c r="E218" t="s">
        <v>33</v>
      </c>
      <c r="F218" t="s">
        <v>92</v>
      </c>
      <c r="G218">
        <v>3</v>
      </c>
      <c r="H218" s="2">
        <v>33</v>
      </c>
      <c r="I218" s="2">
        <v>99</v>
      </c>
      <c r="J218" s="2">
        <v>53.1</v>
      </c>
      <c r="K218" s="2">
        <v>45.9</v>
      </c>
      <c r="L218" t="s">
        <v>17</v>
      </c>
    </row>
    <row r="219" spans="1:12" x14ac:dyDescent="0.35">
      <c r="A219" t="s">
        <v>399</v>
      </c>
      <c r="B219">
        <v>45590</v>
      </c>
      <c r="C219" t="s">
        <v>400</v>
      </c>
      <c r="D219" t="s">
        <v>28</v>
      </c>
      <c r="E219" t="s">
        <v>33</v>
      </c>
      <c r="F219" t="s">
        <v>55</v>
      </c>
      <c r="G219">
        <v>1</v>
      </c>
      <c r="H219" s="2">
        <v>30</v>
      </c>
      <c r="I219" s="2">
        <v>30</v>
      </c>
      <c r="J219" s="2">
        <v>16.02</v>
      </c>
      <c r="K219" s="2">
        <v>13.98</v>
      </c>
      <c r="L219" t="s">
        <v>44</v>
      </c>
    </row>
    <row r="220" spans="1:12" x14ac:dyDescent="0.35">
      <c r="A220" t="s">
        <v>401</v>
      </c>
      <c r="B220">
        <v>45373</v>
      </c>
      <c r="C220" t="s">
        <v>402</v>
      </c>
      <c r="D220" t="s">
        <v>28</v>
      </c>
      <c r="E220" t="s">
        <v>38</v>
      </c>
      <c r="F220" t="s">
        <v>58</v>
      </c>
      <c r="G220">
        <v>3</v>
      </c>
      <c r="H220" s="2">
        <v>78</v>
      </c>
      <c r="I220" s="2">
        <v>234</v>
      </c>
      <c r="J220" s="2">
        <v>167.8</v>
      </c>
      <c r="K220" s="2">
        <v>66.2</v>
      </c>
      <c r="L220" t="s">
        <v>17</v>
      </c>
    </row>
    <row r="221" spans="1:12" x14ac:dyDescent="0.35">
      <c r="A221" t="s">
        <v>403</v>
      </c>
      <c r="B221">
        <v>45641</v>
      </c>
      <c r="C221" t="s">
        <v>404</v>
      </c>
      <c r="D221" t="s">
        <v>24</v>
      </c>
      <c r="E221" t="s">
        <v>15</v>
      </c>
      <c r="F221" t="s">
        <v>20</v>
      </c>
      <c r="G221">
        <v>5</v>
      </c>
      <c r="H221" s="2">
        <v>40</v>
      </c>
      <c r="I221" s="2">
        <v>200</v>
      </c>
      <c r="J221" s="2">
        <v>110.08</v>
      </c>
      <c r="K221" s="2">
        <v>89.92</v>
      </c>
      <c r="L221" t="s">
        <v>21</v>
      </c>
    </row>
    <row r="222" spans="1:12" x14ac:dyDescent="0.35">
      <c r="A222" t="s">
        <v>405</v>
      </c>
      <c r="B222">
        <v>45474</v>
      </c>
      <c r="C222" t="s">
        <v>60</v>
      </c>
      <c r="D222" t="s">
        <v>28</v>
      </c>
      <c r="E222" t="s">
        <v>15</v>
      </c>
      <c r="F222" t="s">
        <v>25</v>
      </c>
      <c r="G222">
        <v>1</v>
      </c>
      <c r="H222" s="2">
        <v>29</v>
      </c>
      <c r="I222" s="2">
        <v>29</v>
      </c>
      <c r="J222" s="2">
        <v>16.920000000000002</v>
      </c>
      <c r="K222" s="2">
        <v>12.08</v>
      </c>
      <c r="L222" t="s">
        <v>44</v>
      </c>
    </row>
    <row r="223" spans="1:12" x14ac:dyDescent="0.35">
      <c r="A223" t="s">
        <v>406</v>
      </c>
      <c r="B223">
        <v>45486</v>
      </c>
      <c r="C223" t="s">
        <v>407</v>
      </c>
      <c r="D223" t="s">
        <v>28</v>
      </c>
      <c r="E223" t="s">
        <v>33</v>
      </c>
      <c r="F223" t="s">
        <v>55</v>
      </c>
      <c r="G223">
        <v>1</v>
      </c>
      <c r="H223" s="2">
        <v>25</v>
      </c>
      <c r="I223" s="2">
        <v>25</v>
      </c>
      <c r="J223" s="2">
        <v>15.76</v>
      </c>
      <c r="K223" s="2">
        <v>9.24</v>
      </c>
      <c r="L223" t="s">
        <v>35</v>
      </c>
    </row>
    <row r="224" spans="1:12" x14ac:dyDescent="0.35">
      <c r="A224" t="s">
        <v>408</v>
      </c>
      <c r="B224">
        <v>45568</v>
      </c>
      <c r="C224" t="s">
        <v>99</v>
      </c>
      <c r="D224" t="s">
        <v>14</v>
      </c>
      <c r="E224" t="s">
        <v>29</v>
      </c>
      <c r="F224" t="s">
        <v>30</v>
      </c>
      <c r="G224">
        <v>4</v>
      </c>
      <c r="H224" s="2">
        <v>39</v>
      </c>
      <c r="I224" s="2">
        <v>156</v>
      </c>
      <c r="J224" s="2">
        <v>80.569999999999993</v>
      </c>
      <c r="K224" s="2">
        <v>75.430000000000007</v>
      </c>
      <c r="L224" t="s">
        <v>44</v>
      </c>
    </row>
    <row r="225" spans="1:12" x14ac:dyDescent="0.35">
      <c r="A225" t="s">
        <v>409</v>
      </c>
      <c r="B225">
        <v>45481</v>
      </c>
      <c r="C225" t="s">
        <v>410</v>
      </c>
      <c r="D225" t="s">
        <v>24</v>
      </c>
      <c r="E225" t="s">
        <v>15</v>
      </c>
      <c r="F225" t="s">
        <v>16</v>
      </c>
      <c r="G225">
        <v>4</v>
      </c>
      <c r="H225" s="2">
        <v>29</v>
      </c>
      <c r="I225" s="2">
        <v>116</v>
      </c>
      <c r="J225" s="2">
        <v>67.45</v>
      </c>
      <c r="K225" s="2">
        <v>48.55</v>
      </c>
      <c r="L225" t="s">
        <v>44</v>
      </c>
    </row>
    <row r="226" spans="1:12" x14ac:dyDescent="0.35">
      <c r="A226" t="s">
        <v>411</v>
      </c>
      <c r="B226">
        <v>45544</v>
      </c>
      <c r="C226" t="s">
        <v>412</v>
      </c>
      <c r="D226" t="s">
        <v>42</v>
      </c>
      <c r="E226" t="s">
        <v>38</v>
      </c>
      <c r="F226" t="s">
        <v>58</v>
      </c>
      <c r="G226">
        <v>5</v>
      </c>
      <c r="H226" s="2">
        <v>62</v>
      </c>
      <c r="I226" s="2">
        <v>310</v>
      </c>
      <c r="J226" s="2">
        <v>212.91</v>
      </c>
      <c r="K226" s="2">
        <v>97.09</v>
      </c>
      <c r="L226" t="s">
        <v>21</v>
      </c>
    </row>
    <row r="227" spans="1:12" x14ac:dyDescent="0.35">
      <c r="A227" t="s">
        <v>413</v>
      </c>
      <c r="B227">
        <v>45651</v>
      </c>
      <c r="C227" t="s">
        <v>414</v>
      </c>
      <c r="D227" t="s">
        <v>42</v>
      </c>
      <c r="E227" t="s">
        <v>38</v>
      </c>
      <c r="F227" t="s">
        <v>52</v>
      </c>
      <c r="G227">
        <v>4</v>
      </c>
      <c r="H227" s="2">
        <v>26</v>
      </c>
      <c r="I227" s="2">
        <v>104</v>
      </c>
      <c r="J227" s="2">
        <v>60.62</v>
      </c>
      <c r="K227" s="2">
        <v>43.38</v>
      </c>
      <c r="L227" t="s">
        <v>17</v>
      </c>
    </row>
    <row r="228" spans="1:12" x14ac:dyDescent="0.35">
      <c r="A228" t="s">
        <v>415</v>
      </c>
      <c r="B228">
        <v>45621</v>
      </c>
      <c r="C228" t="s">
        <v>416</v>
      </c>
      <c r="D228" t="s">
        <v>24</v>
      </c>
      <c r="E228" t="s">
        <v>33</v>
      </c>
      <c r="F228" t="s">
        <v>92</v>
      </c>
      <c r="G228">
        <v>2</v>
      </c>
      <c r="H228" s="2">
        <v>30</v>
      </c>
      <c r="I228" s="2">
        <v>60</v>
      </c>
      <c r="J228" s="2">
        <v>47.19</v>
      </c>
      <c r="K228" s="2">
        <v>12.81</v>
      </c>
      <c r="L228" t="s">
        <v>35</v>
      </c>
    </row>
    <row r="229" spans="1:12" x14ac:dyDescent="0.35">
      <c r="A229" t="s">
        <v>417</v>
      </c>
      <c r="B229">
        <v>45297</v>
      </c>
      <c r="C229" t="s">
        <v>418</v>
      </c>
      <c r="D229" t="s">
        <v>14</v>
      </c>
      <c r="E229" t="s">
        <v>33</v>
      </c>
      <c r="F229" t="s">
        <v>34</v>
      </c>
      <c r="G229">
        <v>3</v>
      </c>
      <c r="H229" s="2">
        <v>40</v>
      </c>
      <c r="I229" s="2">
        <v>120</v>
      </c>
      <c r="J229" s="2">
        <v>69.989999999999995</v>
      </c>
      <c r="K229" s="2">
        <v>50.01</v>
      </c>
      <c r="L229" t="s">
        <v>44</v>
      </c>
    </row>
    <row r="230" spans="1:12" x14ac:dyDescent="0.35">
      <c r="A230" t="s">
        <v>419</v>
      </c>
      <c r="B230">
        <v>45401</v>
      </c>
      <c r="C230" t="s">
        <v>184</v>
      </c>
      <c r="D230" t="s">
        <v>24</v>
      </c>
      <c r="E230" t="s">
        <v>15</v>
      </c>
      <c r="F230" t="s">
        <v>16</v>
      </c>
      <c r="G230">
        <v>3</v>
      </c>
      <c r="H230" s="2">
        <v>52</v>
      </c>
      <c r="I230" s="2">
        <v>156</v>
      </c>
      <c r="J230" s="2">
        <v>100.6</v>
      </c>
      <c r="K230" s="2">
        <v>55.4</v>
      </c>
      <c r="L230" t="s">
        <v>44</v>
      </c>
    </row>
    <row r="231" spans="1:12" x14ac:dyDescent="0.35">
      <c r="A231" t="s">
        <v>420</v>
      </c>
      <c r="B231">
        <v>45628</v>
      </c>
      <c r="C231" t="s">
        <v>421</v>
      </c>
      <c r="D231" t="s">
        <v>14</v>
      </c>
      <c r="E231" t="s">
        <v>29</v>
      </c>
      <c r="F231" t="s">
        <v>43</v>
      </c>
      <c r="G231">
        <v>4</v>
      </c>
      <c r="H231" s="2">
        <v>12</v>
      </c>
      <c r="I231" s="2">
        <v>48</v>
      </c>
      <c r="J231" s="2">
        <v>28.86</v>
      </c>
      <c r="K231" s="2">
        <v>19.14</v>
      </c>
      <c r="L231" t="s">
        <v>35</v>
      </c>
    </row>
    <row r="232" spans="1:12" x14ac:dyDescent="0.35">
      <c r="A232" t="s">
        <v>422</v>
      </c>
      <c r="B232">
        <v>45446</v>
      </c>
      <c r="C232" t="s">
        <v>175</v>
      </c>
      <c r="D232" t="s">
        <v>24</v>
      </c>
      <c r="E232" t="s">
        <v>38</v>
      </c>
      <c r="F232" t="s">
        <v>58</v>
      </c>
      <c r="G232">
        <v>2</v>
      </c>
      <c r="H232" s="2">
        <v>36</v>
      </c>
      <c r="I232" s="2">
        <v>72</v>
      </c>
      <c r="J232" s="2">
        <v>47.33</v>
      </c>
      <c r="K232" s="2">
        <v>24.67</v>
      </c>
      <c r="L232" t="s">
        <v>17</v>
      </c>
    </row>
    <row r="233" spans="1:12" x14ac:dyDescent="0.35">
      <c r="A233" t="s">
        <v>423</v>
      </c>
      <c r="B233">
        <v>45411</v>
      </c>
      <c r="C233" t="s">
        <v>424</v>
      </c>
      <c r="D233" t="s">
        <v>42</v>
      </c>
      <c r="E233" t="s">
        <v>33</v>
      </c>
      <c r="F233" t="s">
        <v>34</v>
      </c>
      <c r="G233">
        <v>4</v>
      </c>
      <c r="H233" s="2">
        <v>93</v>
      </c>
      <c r="I233" s="2">
        <v>372</v>
      </c>
      <c r="J233" s="2">
        <v>268.97000000000003</v>
      </c>
      <c r="K233" s="2">
        <v>103.03</v>
      </c>
      <c r="L233" t="s">
        <v>21</v>
      </c>
    </row>
    <row r="234" spans="1:12" x14ac:dyDescent="0.35">
      <c r="A234" t="s">
        <v>425</v>
      </c>
      <c r="B234">
        <v>45505</v>
      </c>
      <c r="C234" t="s">
        <v>426</v>
      </c>
      <c r="D234" t="s">
        <v>14</v>
      </c>
      <c r="E234" t="s">
        <v>33</v>
      </c>
      <c r="F234" t="s">
        <v>55</v>
      </c>
      <c r="G234">
        <v>2</v>
      </c>
      <c r="H234" s="2">
        <v>64</v>
      </c>
      <c r="I234" s="2">
        <v>128</v>
      </c>
      <c r="J234" s="2">
        <v>96.36</v>
      </c>
      <c r="K234" s="2">
        <v>31.64</v>
      </c>
      <c r="L234" t="s">
        <v>44</v>
      </c>
    </row>
    <row r="235" spans="1:12" x14ac:dyDescent="0.35">
      <c r="A235" t="s">
        <v>427</v>
      </c>
      <c r="B235">
        <v>45458</v>
      </c>
      <c r="C235" t="s">
        <v>428</v>
      </c>
      <c r="D235" t="s">
        <v>42</v>
      </c>
      <c r="E235" t="s">
        <v>38</v>
      </c>
      <c r="F235" t="s">
        <v>52</v>
      </c>
      <c r="G235">
        <v>2</v>
      </c>
      <c r="H235" s="2">
        <v>76</v>
      </c>
      <c r="I235" s="2">
        <v>152</v>
      </c>
      <c r="J235" s="2">
        <v>119.7</v>
      </c>
      <c r="K235" s="2">
        <v>32.299999999999997</v>
      </c>
      <c r="L235" t="s">
        <v>21</v>
      </c>
    </row>
    <row r="236" spans="1:12" x14ac:dyDescent="0.35">
      <c r="A236" t="s">
        <v>429</v>
      </c>
      <c r="B236">
        <v>45333</v>
      </c>
      <c r="C236" t="s">
        <v>414</v>
      </c>
      <c r="D236" t="s">
        <v>24</v>
      </c>
      <c r="E236" t="s">
        <v>29</v>
      </c>
      <c r="F236" t="s">
        <v>30</v>
      </c>
      <c r="G236">
        <v>3</v>
      </c>
      <c r="H236" s="2">
        <v>56</v>
      </c>
      <c r="I236" s="2">
        <v>168</v>
      </c>
      <c r="J236" s="2">
        <v>94.35</v>
      </c>
      <c r="K236" s="2">
        <v>73.650000000000006</v>
      </c>
      <c r="L236" t="s">
        <v>44</v>
      </c>
    </row>
    <row r="237" spans="1:12" x14ac:dyDescent="0.35">
      <c r="A237" t="s">
        <v>430</v>
      </c>
      <c r="B237">
        <v>45553</v>
      </c>
      <c r="C237" t="s">
        <v>352</v>
      </c>
      <c r="D237" t="s">
        <v>28</v>
      </c>
      <c r="E237" t="s">
        <v>15</v>
      </c>
      <c r="F237" t="s">
        <v>16</v>
      </c>
      <c r="G237">
        <v>5</v>
      </c>
      <c r="H237" s="2">
        <v>99</v>
      </c>
      <c r="I237" s="2">
        <v>495</v>
      </c>
      <c r="J237" s="2">
        <v>332.86</v>
      </c>
      <c r="K237" s="2">
        <v>162.13999999999999</v>
      </c>
      <c r="L237" t="s">
        <v>35</v>
      </c>
    </row>
    <row r="238" spans="1:12" x14ac:dyDescent="0.35">
      <c r="A238" t="s">
        <v>431</v>
      </c>
      <c r="B238">
        <v>45583</v>
      </c>
      <c r="C238" t="s">
        <v>432</v>
      </c>
      <c r="D238" t="s">
        <v>42</v>
      </c>
      <c r="E238" t="s">
        <v>33</v>
      </c>
      <c r="F238" t="s">
        <v>34</v>
      </c>
      <c r="G238">
        <v>2</v>
      </c>
      <c r="H238" s="2">
        <v>57</v>
      </c>
      <c r="I238" s="2">
        <v>114</v>
      </c>
      <c r="J238" s="2">
        <v>81.66</v>
      </c>
      <c r="K238" s="2">
        <v>32.340000000000003</v>
      </c>
      <c r="L238" t="s">
        <v>17</v>
      </c>
    </row>
    <row r="239" spans="1:12" x14ac:dyDescent="0.35">
      <c r="A239" t="s">
        <v>433</v>
      </c>
      <c r="B239">
        <v>45370</v>
      </c>
      <c r="C239" t="s">
        <v>434</v>
      </c>
      <c r="D239" t="s">
        <v>24</v>
      </c>
      <c r="E239" t="s">
        <v>15</v>
      </c>
      <c r="F239" t="s">
        <v>25</v>
      </c>
      <c r="G239">
        <v>1</v>
      </c>
      <c r="H239" s="2">
        <v>32</v>
      </c>
      <c r="I239" s="2">
        <v>32</v>
      </c>
      <c r="J239" s="2">
        <v>17.68</v>
      </c>
      <c r="K239" s="2">
        <v>14.32</v>
      </c>
      <c r="L239" t="s">
        <v>44</v>
      </c>
    </row>
    <row r="240" spans="1:12" x14ac:dyDescent="0.35">
      <c r="A240" t="s">
        <v>435</v>
      </c>
      <c r="B240">
        <v>45600</v>
      </c>
      <c r="C240" t="s">
        <v>118</v>
      </c>
      <c r="D240" t="s">
        <v>24</v>
      </c>
      <c r="E240" t="s">
        <v>38</v>
      </c>
      <c r="F240" t="s">
        <v>39</v>
      </c>
      <c r="G240">
        <v>4</v>
      </c>
      <c r="H240" s="2">
        <v>44</v>
      </c>
      <c r="I240" s="2">
        <v>176</v>
      </c>
      <c r="J240" s="2">
        <v>111.43</v>
      </c>
      <c r="K240" s="2">
        <v>64.569999999999993</v>
      </c>
      <c r="L240" t="s">
        <v>17</v>
      </c>
    </row>
    <row r="241" spans="1:12" x14ac:dyDescent="0.35">
      <c r="A241" t="s">
        <v>436</v>
      </c>
      <c r="B241">
        <v>45627</v>
      </c>
      <c r="C241" t="s">
        <v>19</v>
      </c>
      <c r="D241" t="s">
        <v>42</v>
      </c>
      <c r="E241" t="s">
        <v>15</v>
      </c>
      <c r="F241" t="s">
        <v>16</v>
      </c>
      <c r="G241">
        <v>5</v>
      </c>
      <c r="H241" s="2">
        <v>65</v>
      </c>
      <c r="I241" s="2">
        <v>325</v>
      </c>
      <c r="J241" s="2">
        <v>182.91</v>
      </c>
      <c r="K241" s="2">
        <v>142.09</v>
      </c>
      <c r="L241" t="s">
        <v>44</v>
      </c>
    </row>
    <row r="242" spans="1:12" x14ac:dyDescent="0.35">
      <c r="A242" t="s">
        <v>437</v>
      </c>
      <c r="B242">
        <v>45473</v>
      </c>
      <c r="C242" t="s">
        <v>438</v>
      </c>
      <c r="D242" t="s">
        <v>42</v>
      </c>
      <c r="E242" t="s">
        <v>33</v>
      </c>
      <c r="F242" t="s">
        <v>55</v>
      </c>
      <c r="G242">
        <v>1</v>
      </c>
      <c r="H242" s="2">
        <v>99</v>
      </c>
      <c r="I242" s="2">
        <v>99</v>
      </c>
      <c r="J242" s="2">
        <v>70.23</v>
      </c>
      <c r="K242" s="2">
        <v>28.77</v>
      </c>
      <c r="L242" t="s">
        <v>17</v>
      </c>
    </row>
    <row r="243" spans="1:12" x14ac:dyDescent="0.35">
      <c r="A243" t="s">
        <v>439</v>
      </c>
      <c r="B243">
        <v>45653</v>
      </c>
      <c r="C243" t="s">
        <v>440</v>
      </c>
      <c r="D243" t="s">
        <v>28</v>
      </c>
      <c r="E243" t="s">
        <v>29</v>
      </c>
      <c r="F243" t="s">
        <v>43</v>
      </c>
      <c r="G243">
        <v>5</v>
      </c>
      <c r="H243" s="2">
        <v>28</v>
      </c>
      <c r="I243" s="2">
        <v>140</v>
      </c>
      <c r="J243" s="2">
        <v>107.19</v>
      </c>
      <c r="K243" s="2">
        <v>32.81</v>
      </c>
      <c r="L243" t="s">
        <v>21</v>
      </c>
    </row>
    <row r="244" spans="1:12" x14ac:dyDescent="0.35">
      <c r="A244" t="s">
        <v>441</v>
      </c>
      <c r="B244">
        <v>45457</v>
      </c>
      <c r="C244" t="s">
        <v>442</v>
      </c>
      <c r="D244" t="s">
        <v>42</v>
      </c>
      <c r="E244" t="s">
        <v>38</v>
      </c>
      <c r="F244" t="s">
        <v>58</v>
      </c>
      <c r="G244">
        <v>5</v>
      </c>
      <c r="H244" s="2">
        <v>77</v>
      </c>
      <c r="I244" s="2">
        <v>385</v>
      </c>
      <c r="J244" s="2">
        <v>228.07</v>
      </c>
      <c r="K244" s="2">
        <v>156.93</v>
      </c>
      <c r="L244" t="s">
        <v>17</v>
      </c>
    </row>
    <row r="245" spans="1:12" x14ac:dyDescent="0.35">
      <c r="A245" t="s">
        <v>443</v>
      </c>
      <c r="B245">
        <v>45527</v>
      </c>
      <c r="C245" t="s">
        <v>296</v>
      </c>
      <c r="D245" t="s">
        <v>24</v>
      </c>
      <c r="E245" t="s">
        <v>15</v>
      </c>
      <c r="F245" t="s">
        <v>16</v>
      </c>
      <c r="G245">
        <v>2</v>
      </c>
      <c r="H245" s="2">
        <v>92</v>
      </c>
      <c r="I245" s="2">
        <v>184</v>
      </c>
      <c r="J245" s="2">
        <v>124.11</v>
      </c>
      <c r="K245" s="2">
        <v>59.89</v>
      </c>
      <c r="L245" t="s">
        <v>21</v>
      </c>
    </row>
    <row r="246" spans="1:12" x14ac:dyDescent="0.35">
      <c r="A246" t="s">
        <v>444</v>
      </c>
      <c r="B246">
        <v>45374</v>
      </c>
      <c r="C246" t="s">
        <v>445</v>
      </c>
      <c r="D246" t="s">
        <v>42</v>
      </c>
      <c r="E246" t="s">
        <v>29</v>
      </c>
      <c r="F246" t="s">
        <v>30</v>
      </c>
      <c r="G246">
        <v>3</v>
      </c>
      <c r="H246" s="2">
        <v>90</v>
      </c>
      <c r="I246" s="2">
        <v>270</v>
      </c>
      <c r="J246" s="2">
        <v>208.1</v>
      </c>
      <c r="K246" s="2">
        <v>61.9</v>
      </c>
      <c r="L246" t="s">
        <v>35</v>
      </c>
    </row>
    <row r="247" spans="1:12" x14ac:dyDescent="0.35">
      <c r="A247" t="s">
        <v>446</v>
      </c>
      <c r="B247">
        <v>45605</v>
      </c>
      <c r="C247" t="s">
        <v>447</v>
      </c>
      <c r="D247" t="s">
        <v>42</v>
      </c>
      <c r="E247" t="s">
        <v>38</v>
      </c>
      <c r="F247" t="s">
        <v>52</v>
      </c>
      <c r="G247">
        <v>3</v>
      </c>
      <c r="H247" s="2">
        <v>69</v>
      </c>
      <c r="I247" s="2">
        <v>207</v>
      </c>
      <c r="J247" s="2">
        <v>130.09</v>
      </c>
      <c r="K247" s="2">
        <v>76.91</v>
      </c>
      <c r="L247" t="s">
        <v>21</v>
      </c>
    </row>
    <row r="248" spans="1:12" x14ac:dyDescent="0.35">
      <c r="A248" t="s">
        <v>448</v>
      </c>
      <c r="B248">
        <v>45563</v>
      </c>
      <c r="C248" t="s">
        <v>438</v>
      </c>
      <c r="D248" t="s">
        <v>28</v>
      </c>
      <c r="E248" t="s">
        <v>33</v>
      </c>
      <c r="F248" t="s">
        <v>34</v>
      </c>
      <c r="G248">
        <v>1</v>
      </c>
      <c r="H248" s="2">
        <v>54</v>
      </c>
      <c r="I248" s="2">
        <v>54</v>
      </c>
      <c r="J248" s="2">
        <v>36.65</v>
      </c>
      <c r="K248" s="2">
        <v>17.350000000000001</v>
      </c>
      <c r="L248" t="s">
        <v>21</v>
      </c>
    </row>
    <row r="249" spans="1:12" x14ac:dyDescent="0.35">
      <c r="A249" t="s">
        <v>449</v>
      </c>
      <c r="B249">
        <v>45480</v>
      </c>
      <c r="C249" t="s">
        <v>293</v>
      </c>
      <c r="D249" t="s">
        <v>42</v>
      </c>
      <c r="E249" t="s">
        <v>15</v>
      </c>
      <c r="F249" t="s">
        <v>20</v>
      </c>
      <c r="G249">
        <v>3</v>
      </c>
      <c r="H249" s="2">
        <v>48</v>
      </c>
      <c r="I249" s="2">
        <v>144</v>
      </c>
      <c r="J249" s="2">
        <v>77.89</v>
      </c>
      <c r="K249" s="2">
        <v>66.11</v>
      </c>
      <c r="L249" t="s">
        <v>35</v>
      </c>
    </row>
    <row r="250" spans="1:12" x14ac:dyDescent="0.35">
      <c r="A250" t="s">
        <v>450</v>
      </c>
      <c r="B250">
        <v>45454</v>
      </c>
      <c r="C250" t="s">
        <v>402</v>
      </c>
      <c r="D250" t="s">
        <v>28</v>
      </c>
      <c r="E250" t="s">
        <v>38</v>
      </c>
      <c r="F250" t="s">
        <v>39</v>
      </c>
      <c r="G250">
        <v>1</v>
      </c>
      <c r="H250" s="2">
        <v>17</v>
      </c>
      <c r="I250" s="2">
        <v>17</v>
      </c>
      <c r="J250" s="2">
        <v>10.33</v>
      </c>
      <c r="K250" s="2">
        <v>6.67</v>
      </c>
      <c r="L250" t="s">
        <v>21</v>
      </c>
    </row>
    <row r="251" spans="1:12" x14ac:dyDescent="0.35">
      <c r="A251" t="s">
        <v>451</v>
      </c>
      <c r="B251">
        <v>45656</v>
      </c>
      <c r="C251" t="s">
        <v>296</v>
      </c>
      <c r="D251" t="s">
        <v>28</v>
      </c>
      <c r="E251" t="s">
        <v>29</v>
      </c>
      <c r="F251" t="s">
        <v>30</v>
      </c>
      <c r="G251">
        <v>3</v>
      </c>
      <c r="H251" s="2">
        <v>57</v>
      </c>
      <c r="I251" s="2">
        <v>171</v>
      </c>
      <c r="J251" s="2">
        <v>135.94999999999999</v>
      </c>
      <c r="K251" s="2">
        <v>35.049999999999997</v>
      </c>
      <c r="L251" t="s">
        <v>17</v>
      </c>
    </row>
    <row r="252" spans="1:12" x14ac:dyDescent="0.35">
      <c r="A252" t="s">
        <v>452</v>
      </c>
      <c r="B252">
        <v>45341</v>
      </c>
      <c r="C252" t="s">
        <v>68</v>
      </c>
      <c r="D252" t="s">
        <v>28</v>
      </c>
      <c r="E252" t="s">
        <v>29</v>
      </c>
      <c r="F252" t="s">
        <v>43</v>
      </c>
      <c r="G252">
        <v>3</v>
      </c>
      <c r="H252" s="2">
        <v>23</v>
      </c>
      <c r="I252" s="2">
        <v>69</v>
      </c>
      <c r="J252" s="2">
        <v>54.94</v>
      </c>
      <c r="K252" s="2">
        <v>14.06</v>
      </c>
      <c r="L252" t="s">
        <v>21</v>
      </c>
    </row>
    <row r="253" spans="1:12" x14ac:dyDescent="0.35">
      <c r="A253" t="s">
        <v>453</v>
      </c>
      <c r="B253">
        <v>45361</v>
      </c>
      <c r="C253" t="s">
        <v>282</v>
      </c>
      <c r="D253" t="s">
        <v>42</v>
      </c>
      <c r="E253" t="s">
        <v>15</v>
      </c>
      <c r="F253" t="s">
        <v>20</v>
      </c>
      <c r="G253">
        <v>3</v>
      </c>
      <c r="H253" s="2">
        <v>52</v>
      </c>
      <c r="I253" s="2">
        <v>156</v>
      </c>
      <c r="J253" s="2">
        <v>119.8</v>
      </c>
      <c r="K253" s="2">
        <v>36.200000000000003</v>
      </c>
      <c r="L253" t="s">
        <v>35</v>
      </c>
    </row>
    <row r="254" spans="1:12" x14ac:dyDescent="0.35">
      <c r="A254" t="s">
        <v>454</v>
      </c>
      <c r="B254">
        <v>45475</v>
      </c>
      <c r="C254" t="s">
        <v>243</v>
      </c>
      <c r="D254" t="s">
        <v>24</v>
      </c>
      <c r="E254" t="s">
        <v>29</v>
      </c>
      <c r="F254" t="s">
        <v>30</v>
      </c>
      <c r="G254">
        <v>5</v>
      </c>
      <c r="H254" s="2">
        <v>70</v>
      </c>
      <c r="I254" s="2">
        <v>350</v>
      </c>
      <c r="J254" s="2">
        <v>241.14</v>
      </c>
      <c r="K254" s="2">
        <v>108.86</v>
      </c>
      <c r="L254" t="s">
        <v>21</v>
      </c>
    </row>
    <row r="255" spans="1:12" x14ac:dyDescent="0.35">
      <c r="A255" t="s">
        <v>455</v>
      </c>
      <c r="B255">
        <v>45564</v>
      </c>
      <c r="C255" t="s">
        <v>142</v>
      </c>
      <c r="D255" t="s">
        <v>14</v>
      </c>
      <c r="E255" t="s">
        <v>38</v>
      </c>
      <c r="F255" t="s">
        <v>52</v>
      </c>
      <c r="G255">
        <v>5</v>
      </c>
      <c r="H255" s="2">
        <v>38</v>
      </c>
      <c r="I255" s="2">
        <v>190</v>
      </c>
      <c r="J255" s="2">
        <v>120.26</v>
      </c>
      <c r="K255" s="2">
        <v>69.739999999999995</v>
      </c>
      <c r="L255" t="s">
        <v>35</v>
      </c>
    </row>
    <row r="256" spans="1:12" x14ac:dyDescent="0.35">
      <c r="A256" t="s">
        <v>456</v>
      </c>
      <c r="B256">
        <v>45424</v>
      </c>
      <c r="C256" t="s">
        <v>140</v>
      </c>
      <c r="D256" t="s">
        <v>24</v>
      </c>
      <c r="E256" t="s">
        <v>15</v>
      </c>
      <c r="F256" t="s">
        <v>16</v>
      </c>
      <c r="G256">
        <v>2</v>
      </c>
      <c r="H256" s="2">
        <v>63</v>
      </c>
      <c r="I256" s="2">
        <v>126</v>
      </c>
      <c r="J256" s="2">
        <v>83.22</v>
      </c>
      <c r="K256" s="2">
        <v>42.78</v>
      </c>
      <c r="L256" t="s">
        <v>44</v>
      </c>
    </row>
    <row r="257" spans="1:12" x14ac:dyDescent="0.35">
      <c r="A257" t="s">
        <v>457</v>
      </c>
      <c r="B257">
        <v>45645</v>
      </c>
      <c r="C257" t="s">
        <v>23</v>
      </c>
      <c r="D257" t="s">
        <v>14</v>
      </c>
      <c r="E257" t="s">
        <v>15</v>
      </c>
      <c r="F257" t="s">
        <v>25</v>
      </c>
      <c r="G257">
        <v>1</v>
      </c>
      <c r="H257" s="2">
        <v>98</v>
      </c>
      <c r="I257" s="2">
        <v>98</v>
      </c>
      <c r="J257" s="2">
        <v>65.95</v>
      </c>
      <c r="K257" s="2">
        <v>32.049999999999997</v>
      </c>
      <c r="L257" t="s">
        <v>17</v>
      </c>
    </row>
    <row r="258" spans="1:12" x14ac:dyDescent="0.35">
      <c r="A258" t="s">
        <v>458</v>
      </c>
      <c r="B258">
        <v>45540</v>
      </c>
      <c r="C258" t="s">
        <v>459</v>
      </c>
      <c r="D258" t="s">
        <v>14</v>
      </c>
      <c r="E258" t="s">
        <v>15</v>
      </c>
      <c r="F258" t="s">
        <v>16</v>
      </c>
      <c r="G258">
        <v>2</v>
      </c>
      <c r="H258" s="2">
        <v>54</v>
      </c>
      <c r="I258" s="2">
        <v>108</v>
      </c>
      <c r="J258" s="2">
        <v>54.56</v>
      </c>
      <c r="K258" s="2">
        <v>53.44</v>
      </c>
      <c r="L258" t="s">
        <v>17</v>
      </c>
    </row>
    <row r="259" spans="1:12" x14ac:dyDescent="0.35">
      <c r="A259" t="s">
        <v>460</v>
      </c>
      <c r="B259">
        <v>45654</v>
      </c>
      <c r="C259" t="s">
        <v>461</v>
      </c>
      <c r="D259" t="s">
        <v>28</v>
      </c>
      <c r="E259" t="s">
        <v>15</v>
      </c>
      <c r="F259" t="s">
        <v>20</v>
      </c>
      <c r="G259">
        <v>2</v>
      </c>
      <c r="H259" s="2">
        <v>60</v>
      </c>
      <c r="I259" s="2">
        <v>120</v>
      </c>
      <c r="J259" s="2">
        <v>61.34</v>
      </c>
      <c r="K259" s="2">
        <v>58.66</v>
      </c>
      <c r="L259" t="s">
        <v>35</v>
      </c>
    </row>
    <row r="260" spans="1:12" x14ac:dyDescent="0.35">
      <c r="A260" t="s">
        <v>462</v>
      </c>
      <c r="B260">
        <v>45614</v>
      </c>
      <c r="C260" t="s">
        <v>298</v>
      </c>
      <c r="D260" t="s">
        <v>14</v>
      </c>
      <c r="E260" t="s">
        <v>15</v>
      </c>
      <c r="F260" t="s">
        <v>20</v>
      </c>
      <c r="G260">
        <v>1</v>
      </c>
      <c r="H260" s="2">
        <v>11</v>
      </c>
      <c r="I260" s="2">
        <v>11</v>
      </c>
      <c r="J260" s="2">
        <v>8.43</v>
      </c>
      <c r="K260" s="2">
        <v>2.57</v>
      </c>
      <c r="L260" t="s">
        <v>17</v>
      </c>
    </row>
    <row r="261" spans="1:12" x14ac:dyDescent="0.35">
      <c r="A261" t="s">
        <v>463</v>
      </c>
      <c r="B261">
        <v>45414</v>
      </c>
      <c r="C261" t="s">
        <v>167</v>
      </c>
      <c r="D261" t="s">
        <v>42</v>
      </c>
      <c r="E261" t="s">
        <v>15</v>
      </c>
      <c r="F261" t="s">
        <v>25</v>
      </c>
      <c r="G261">
        <v>4</v>
      </c>
      <c r="H261" s="2">
        <v>80</v>
      </c>
      <c r="I261" s="2">
        <v>320</v>
      </c>
      <c r="J261" s="2">
        <v>189.72</v>
      </c>
      <c r="K261" s="2">
        <v>130.28</v>
      </c>
      <c r="L261" t="s">
        <v>21</v>
      </c>
    </row>
    <row r="262" spans="1:12" x14ac:dyDescent="0.35">
      <c r="A262" t="s">
        <v>464</v>
      </c>
      <c r="B262">
        <v>45367</v>
      </c>
      <c r="C262" t="s">
        <v>279</v>
      </c>
      <c r="D262" t="s">
        <v>42</v>
      </c>
      <c r="E262" t="s">
        <v>15</v>
      </c>
      <c r="F262" t="s">
        <v>25</v>
      </c>
      <c r="G262">
        <v>5</v>
      </c>
      <c r="H262" s="2">
        <v>66</v>
      </c>
      <c r="I262" s="2">
        <v>330</v>
      </c>
      <c r="J262" s="2">
        <v>178.8</v>
      </c>
      <c r="K262" s="2">
        <v>151.19999999999999</v>
      </c>
      <c r="L262" t="s">
        <v>35</v>
      </c>
    </row>
    <row r="263" spans="1:12" x14ac:dyDescent="0.35">
      <c r="A263" t="s">
        <v>465</v>
      </c>
      <c r="B263">
        <v>45329</v>
      </c>
      <c r="C263" t="s">
        <v>466</v>
      </c>
      <c r="D263" t="s">
        <v>28</v>
      </c>
      <c r="E263" t="s">
        <v>38</v>
      </c>
      <c r="F263" t="s">
        <v>52</v>
      </c>
      <c r="G263">
        <v>4</v>
      </c>
      <c r="H263" s="2">
        <v>84</v>
      </c>
      <c r="I263" s="2">
        <v>336</v>
      </c>
      <c r="J263" s="2">
        <v>202.74</v>
      </c>
      <c r="K263" s="2">
        <v>133.26</v>
      </c>
      <c r="L263" t="s">
        <v>21</v>
      </c>
    </row>
    <row r="264" spans="1:12" x14ac:dyDescent="0.35">
      <c r="A264" t="s">
        <v>467</v>
      </c>
      <c r="B264">
        <v>45301</v>
      </c>
      <c r="C264" t="s">
        <v>114</v>
      </c>
      <c r="D264" t="s">
        <v>28</v>
      </c>
      <c r="E264" t="s">
        <v>38</v>
      </c>
      <c r="F264" t="s">
        <v>52</v>
      </c>
      <c r="G264">
        <v>1</v>
      </c>
      <c r="H264" s="2">
        <v>77</v>
      </c>
      <c r="I264" s="2">
        <v>77</v>
      </c>
      <c r="J264" s="2">
        <v>58.98</v>
      </c>
      <c r="K264" s="2">
        <v>18.02</v>
      </c>
      <c r="L264" t="s">
        <v>44</v>
      </c>
    </row>
    <row r="265" spans="1:12" x14ac:dyDescent="0.35">
      <c r="A265" t="s">
        <v>468</v>
      </c>
      <c r="B265">
        <v>45573</v>
      </c>
      <c r="C265" t="s">
        <v>153</v>
      </c>
      <c r="D265" t="s">
        <v>24</v>
      </c>
      <c r="E265" t="s">
        <v>15</v>
      </c>
      <c r="F265" t="s">
        <v>16</v>
      </c>
      <c r="G265">
        <v>1</v>
      </c>
      <c r="H265" s="2">
        <v>35</v>
      </c>
      <c r="I265" s="2">
        <v>35</v>
      </c>
      <c r="J265" s="2">
        <v>25.88</v>
      </c>
      <c r="K265" s="2">
        <v>9.1199999999999992</v>
      </c>
      <c r="L265" t="s">
        <v>17</v>
      </c>
    </row>
    <row r="266" spans="1:12" x14ac:dyDescent="0.35">
      <c r="A266" t="s">
        <v>469</v>
      </c>
      <c r="B266">
        <v>45438</v>
      </c>
      <c r="C266" t="s">
        <v>466</v>
      </c>
      <c r="D266" t="s">
        <v>28</v>
      </c>
      <c r="E266" t="s">
        <v>15</v>
      </c>
      <c r="F266" t="s">
        <v>25</v>
      </c>
      <c r="G266">
        <v>2</v>
      </c>
      <c r="H266" s="2">
        <v>52</v>
      </c>
      <c r="I266" s="2">
        <v>104</v>
      </c>
      <c r="J266" s="2">
        <v>56.82</v>
      </c>
      <c r="K266" s="2">
        <v>47.18</v>
      </c>
      <c r="L266" t="s">
        <v>21</v>
      </c>
    </row>
    <row r="267" spans="1:12" x14ac:dyDescent="0.35">
      <c r="A267" t="s">
        <v>470</v>
      </c>
      <c r="B267">
        <v>45544</v>
      </c>
      <c r="C267" t="s">
        <v>342</v>
      </c>
      <c r="D267" t="s">
        <v>14</v>
      </c>
      <c r="E267" t="s">
        <v>29</v>
      </c>
      <c r="F267" t="s">
        <v>30</v>
      </c>
      <c r="G267">
        <v>3</v>
      </c>
      <c r="H267" s="2">
        <v>48</v>
      </c>
      <c r="I267" s="2">
        <v>144</v>
      </c>
      <c r="J267" s="2">
        <v>102.61</v>
      </c>
      <c r="K267" s="2">
        <v>41.39</v>
      </c>
      <c r="L267" t="s">
        <v>17</v>
      </c>
    </row>
    <row r="268" spans="1:12" x14ac:dyDescent="0.35">
      <c r="A268" t="s">
        <v>471</v>
      </c>
      <c r="B268">
        <v>45487</v>
      </c>
      <c r="C268" t="s">
        <v>62</v>
      </c>
      <c r="D268" t="s">
        <v>28</v>
      </c>
      <c r="E268" t="s">
        <v>15</v>
      </c>
      <c r="F268" t="s">
        <v>20</v>
      </c>
      <c r="G268">
        <v>2</v>
      </c>
      <c r="H268" s="2">
        <v>62</v>
      </c>
      <c r="I268" s="2">
        <v>124</v>
      </c>
      <c r="J268" s="2">
        <v>68.069999999999993</v>
      </c>
      <c r="K268" s="2">
        <v>55.93</v>
      </c>
      <c r="L268" t="s">
        <v>17</v>
      </c>
    </row>
    <row r="269" spans="1:12" x14ac:dyDescent="0.35">
      <c r="A269" t="s">
        <v>472</v>
      </c>
      <c r="B269">
        <v>45631</v>
      </c>
      <c r="C269" t="s">
        <v>66</v>
      </c>
      <c r="D269" t="s">
        <v>42</v>
      </c>
      <c r="E269" t="s">
        <v>33</v>
      </c>
      <c r="F269" t="s">
        <v>92</v>
      </c>
      <c r="G269">
        <v>4</v>
      </c>
      <c r="H269" s="2">
        <v>21</v>
      </c>
      <c r="I269" s="2">
        <v>84</v>
      </c>
      <c r="J269" s="2">
        <v>63.84</v>
      </c>
      <c r="K269" s="2">
        <v>20.16</v>
      </c>
      <c r="L269" t="s">
        <v>44</v>
      </c>
    </row>
    <row r="270" spans="1:12" x14ac:dyDescent="0.35">
      <c r="A270" t="s">
        <v>473</v>
      </c>
      <c r="B270">
        <v>45616</v>
      </c>
      <c r="C270" t="s">
        <v>338</v>
      </c>
      <c r="D270" t="s">
        <v>42</v>
      </c>
      <c r="E270" t="s">
        <v>33</v>
      </c>
      <c r="F270" t="s">
        <v>34</v>
      </c>
      <c r="G270">
        <v>5</v>
      </c>
      <c r="H270" s="2">
        <v>30</v>
      </c>
      <c r="I270" s="2">
        <v>150</v>
      </c>
      <c r="J270" s="2">
        <v>78.349999999999994</v>
      </c>
      <c r="K270" s="2">
        <v>71.650000000000006</v>
      </c>
      <c r="L270" t="s">
        <v>17</v>
      </c>
    </row>
    <row r="271" spans="1:12" x14ac:dyDescent="0.35">
      <c r="A271" t="s">
        <v>474</v>
      </c>
      <c r="B271">
        <v>45424</v>
      </c>
      <c r="C271" t="s">
        <v>369</v>
      </c>
      <c r="D271" t="s">
        <v>14</v>
      </c>
      <c r="E271" t="s">
        <v>29</v>
      </c>
      <c r="F271" t="s">
        <v>47</v>
      </c>
      <c r="G271">
        <v>3</v>
      </c>
      <c r="H271" s="2">
        <v>89</v>
      </c>
      <c r="I271" s="2">
        <v>267</v>
      </c>
      <c r="J271" s="2">
        <v>136.28</v>
      </c>
      <c r="K271" s="2">
        <v>130.72</v>
      </c>
      <c r="L271" t="s">
        <v>35</v>
      </c>
    </row>
    <row r="272" spans="1:12" x14ac:dyDescent="0.35">
      <c r="A272" t="s">
        <v>475</v>
      </c>
      <c r="B272">
        <v>45318</v>
      </c>
      <c r="C272" t="s">
        <v>340</v>
      </c>
      <c r="D272" t="s">
        <v>28</v>
      </c>
      <c r="E272" t="s">
        <v>33</v>
      </c>
      <c r="F272" t="s">
        <v>55</v>
      </c>
      <c r="G272">
        <v>3</v>
      </c>
      <c r="H272" s="2">
        <v>79</v>
      </c>
      <c r="I272" s="2">
        <v>237</v>
      </c>
      <c r="J272" s="2">
        <v>153.4</v>
      </c>
      <c r="K272" s="2">
        <v>83.6</v>
      </c>
      <c r="L272" t="s">
        <v>17</v>
      </c>
    </row>
    <row r="273" spans="1:12" x14ac:dyDescent="0.35">
      <c r="A273" t="s">
        <v>476</v>
      </c>
      <c r="B273">
        <v>45497</v>
      </c>
      <c r="C273" t="s">
        <v>189</v>
      </c>
      <c r="D273" t="s">
        <v>28</v>
      </c>
      <c r="E273" t="s">
        <v>33</v>
      </c>
      <c r="F273" t="s">
        <v>55</v>
      </c>
      <c r="G273">
        <v>5</v>
      </c>
      <c r="H273" s="2">
        <v>61</v>
      </c>
      <c r="I273" s="2">
        <v>305</v>
      </c>
      <c r="J273" s="2">
        <v>238.28</v>
      </c>
      <c r="K273" s="2">
        <v>66.72</v>
      </c>
      <c r="L273" t="s">
        <v>21</v>
      </c>
    </row>
    <row r="274" spans="1:12" x14ac:dyDescent="0.35">
      <c r="A274" t="s">
        <v>477</v>
      </c>
      <c r="B274">
        <v>45385</v>
      </c>
      <c r="C274" t="s">
        <v>478</v>
      </c>
      <c r="D274" t="s">
        <v>24</v>
      </c>
      <c r="E274" t="s">
        <v>38</v>
      </c>
      <c r="F274" t="s">
        <v>39</v>
      </c>
      <c r="G274">
        <v>5</v>
      </c>
      <c r="H274" s="2">
        <v>93</v>
      </c>
      <c r="I274" s="2">
        <v>465</v>
      </c>
      <c r="J274" s="2">
        <v>354.75</v>
      </c>
      <c r="K274" s="2">
        <v>110.25</v>
      </c>
      <c r="L274" t="s">
        <v>21</v>
      </c>
    </row>
    <row r="275" spans="1:12" x14ac:dyDescent="0.35">
      <c r="A275" t="s">
        <v>479</v>
      </c>
      <c r="B275">
        <v>45492</v>
      </c>
      <c r="C275" t="s">
        <v>148</v>
      </c>
      <c r="D275" t="s">
        <v>24</v>
      </c>
      <c r="E275" t="s">
        <v>15</v>
      </c>
      <c r="F275" t="s">
        <v>16</v>
      </c>
      <c r="G275">
        <v>3</v>
      </c>
      <c r="H275" s="2">
        <v>69</v>
      </c>
      <c r="I275" s="2">
        <v>207</v>
      </c>
      <c r="J275" s="2">
        <v>109.86</v>
      </c>
      <c r="K275" s="2">
        <v>97.14</v>
      </c>
      <c r="L275" t="s">
        <v>44</v>
      </c>
    </row>
    <row r="276" spans="1:12" x14ac:dyDescent="0.35">
      <c r="A276" t="s">
        <v>480</v>
      </c>
      <c r="B276">
        <v>45476</v>
      </c>
      <c r="C276" t="s">
        <v>481</v>
      </c>
      <c r="D276" t="s">
        <v>14</v>
      </c>
      <c r="E276" t="s">
        <v>33</v>
      </c>
      <c r="F276" t="s">
        <v>34</v>
      </c>
      <c r="G276">
        <v>3</v>
      </c>
      <c r="H276" s="2">
        <v>55</v>
      </c>
      <c r="I276" s="2">
        <v>165</v>
      </c>
      <c r="J276" s="2">
        <v>113.88</v>
      </c>
      <c r="K276" s="2">
        <v>51.12</v>
      </c>
      <c r="L276" t="s">
        <v>44</v>
      </c>
    </row>
    <row r="277" spans="1:12" x14ac:dyDescent="0.35">
      <c r="A277" t="s">
        <v>482</v>
      </c>
      <c r="B277">
        <v>45420</v>
      </c>
      <c r="C277" t="s">
        <v>483</v>
      </c>
      <c r="D277" t="s">
        <v>28</v>
      </c>
      <c r="E277" t="s">
        <v>33</v>
      </c>
      <c r="F277" t="s">
        <v>55</v>
      </c>
      <c r="G277">
        <v>1</v>
      </c>
      <c r="H277" s="2">
        <v>21</v>
      </c>
      <c r="I277" s="2">
        <v>21</v>
      </c>
      <c r="J277" s="2">
        <v>11.17</v>
      </c>
      <c r="K277" s="2">
        <v>9.83</v>
      </c>
      <c r="L277" t="s">
        <v>35</v>
      </c>
    </row>
    <row r="278" spans="1:12" x14ac:dyDescent="0.35">
      <c r="A278" t="s">
        <v>484</v>
      </c>
      <c r="B278">
        <v>45405</v>
      </c>
      <c r="C278" t="s">
        <v>349</v>
      </c>
      <c r="D278" t="s">
        <v>28</v>
      </c>
      <c r="E278" t="s">
        <v>33</v>
      </c>
      <c r="F278" t="s">
        <v>55</v>
      </c>
      <c r="G278">
        <v>2</v>
      </c>
      <c r="H278" s="2">
        <v>96</v>
      </c>
      <c r="I278" s="2">
        <v>192</v>
      </c>
      <c r="J278" s="2">
        <v>150.79</v>
      </c>
      <c r="K278" s="2">
        <v>41.21</v>
      </c>
      <c r="L278" t="s">
        <v>21</v>
      </c>
    </row>
    <row r="279" spans="1:12" x14ac:dyDescent="0.35">
      <c r="A279" t="s">
        <v>485</v>
      </c>
      <c r="B279">
        <v>45468</v>
      </c>
      <c r="C279" t="s">
        <v>486</v>
      </c>
      <c r="D279" t="s">
        <v>28</v>
      </c>
      <c r="E279" t="s">
        <v>29</v>
      </c>
      <c r="F279" t="s">
        <v>30</v>
      </c>
      <c r="G279">
        <v>3</v>
      </c>
      <c r="H279" s="2">
        <v>100</v>
      </c>
      <c r="I279" s="2">
        <v>300</v>
      </c>
      <c r="J279" s="2">
        <v>157.1</v>
      </c>
      <c r="K279" s="2">
        <v>142.9</v>
      </c>
      <c r="L279" t="s">
        <v>17</v>
      </c>
    </row>
    <row r="280" spans="1:12" x14ac:dyDescent="0.35">
      <c r="A280" t="s">
        <v>487</v>
      </c>
      <c r="B280">
        <v>45556</v>
      </c>
      <c r="C280" t="s">
        <v>165</v>
      </c>
      <c r="D280" t="s">
        <v>24</v>
      </c>
      <c r="E280" t="s">
        <v>29</v>
      </c>
      <c r="F280" t="s">
        <v>47</v>
      </c>
      <c r="G280">
        <v>3</v>
      </c>
      <c r="H280" s="2">
        <v>17</v>
      </c>
      <c r="I280" s="2">
        <v>51</v>
      </c>
      <c r="J280" s="2">
        <v>27.35</v>
      </c>
      <c r="K280" s="2">
        <v>23.65</v>
      </c>
      <c r="L280" t="s">
        <v>21</v>
      </c>
    </row>
    <row r="281" spans="1:12" x14ac:dyDescent="0.35">
      <c r="A281" t="s">
        <v>488</v>
      </c>
      <c r="B281">
        <v>45520</v>
      </c>
      <c r="C281" t="s">
        <v>489</v>
      </c>
      <c r="D281" t="s">
        <v>24</v>
      </c>
      <c r="E281" t="s">
        <v>33</v>
      </c>
      <c r="F281" t="s">
        <v>92</v>
      </c>
      <c r="G281">
        <v>5</v>
      </c>
      <c r="H281" s="2">
        <v>48</v>
      </c>
      <c r="I281" s="2">
        <v>240</v>
      </c>
      <c r="J281" s="2">
        <v>170.91</v>
      </c>
      <c r="K281" s="2">
        <v>69.09</v>
      </c>
      <c r="L281" t="s">
        <v>17</v>
      </c>
    </row>
    <row r="282" spans="1:12" x14ac:dyDescent="0.35">
      <c r="A282" t="s">
        <v>490</v>
      </c>
      <c r="B282">
        <v>45595</v>
      </c>
      <c r="C282" t="s">
        <v>491</v>
      </c>
      <c r="D282" t="s">
        <v>28</v>
      </c>
      <c r="E282" t="s">
        <v>38</v>
      </c>
      <c r="F282" t="s">
        <v>39</v>
      </c>
      <c r="G282">
        <v>1</v>
      </c>
      <c r="H282" s="2">
        <v>17</v>
      </c>
      <c r="I282" s="2">
        <v>17</v>
      </c>
      <c r="J282" s="2">
        <v>10.79</v>
      </c>
      <c r="K282" s="2">
        <v>6.21</v>
      </c>
      <c r="L282" t="s">
        <v>44</v>
      </c>
    </row>
    <row r="283" spans="1:12" x14ac:dyDescent="0.35">
      <c r="A283" t="s">
        <v>492</v>
      </c>
      <c r="B283">
        <v>45607</v>
      </c>
      <c r="C283" t="s">
        <v>234</v>
      </c>
      <c r="D283" t="s">
        <v>42</v>
      </c>
      <c r="E283" t="s">
        <v>15</v>
      </c>
      <c r="F283" t="s">
        <v>25</v>
      </c>
      <c r="G283">
        <v>2</v>
      </c>
      <c r="H283" s="2">
        <v>40</v>
      </c>
      <c r="I283" s="2">
        <v>80</v>
      </c>
      <c r="J283" s="2">
        <v>44.58</v>
      </c>
      <c r="K283" s="2">
        <v>35.42</v>
      </c>
      <c r="L283" t="s">
        <v>21</v>
      </c>
    </row>
    <row r="284" spans="1:12" x14ac:dyDescent="0.35">
      <c r="A284" t="s">
        <v>493</v>
      </c>
      <c r="B284">
        <v>45602</v>
      </c>
      <c r="C284" t="s">
        <v>187</v>
      </c>
      <c r="D284" t="s">
        <v>28</v>
      </c>
      <c r="E284" t="s">
        <v>29</v>
      </c>
      <c r="F284" t="s">
        <v>47</v>
      </c>
      <c r="G284">
        <v>2</v>
      </c>
      <c r="H284" s="2">
        <v>23</v>
      </c>
      <c r="I284" s="2">
        <v>46</v>
      </c>
      <c r="J284" s="2">
        <v>26.91</v>
      </c>
      <c r="K284" s="2">
        <v>19.09</v>
      </c>
      <c r="L284" t="s">
        <v>17</v>
      </c>
    </row>
    <row r="285" spans="1:12" x14ac:dyDescent="0.35">
      <c r="A285" t="s">
        <v>494</v>
      </c>
      <c r="B285">
        <v>45610</v>
      </c>
      <c r="C285" t="s">
        <v>236</v>
      </c>
      <c r="D285" t="s">
        <v>14</v>
      </c>
      <c r="E285" t="s">
        <v>38</v>
      </c>
      <c r="F285" t="s">
        <v>58</v>
      </c>
      <c r="G285">
        <v>3</v>
      </c>
      <c r="H285" s="2">
        <v>82</v>
      </c>
      <c r="I285" s="2">
        <v>246</v>
      </c>
      <c r="J285" s="2">
        <v>131.63999999999999</v>
      </c>
      <c r="K285" s="2">
        <v>114.36</v>
      </c>
      <c r="L285" t="s">
        <v>21</v>
      </c>
    </row>
    <row r="286" spans="1:12" x14ac:dyDescent="0.35">
      <c r="A286" t="s">
        <v>495</v>
      </c>
      <c r="B286">
        <v>45354</v>
      </c>
      <c r="C286" t="s">
        <v>270</v>
      </c>
      <c r="D286" t="s">
        <v>14</v>
      </c>
      <c r="E286" t="s">
        <v>38</v>
      </c>
      <c r="F286" t="s">
        <v>52</v>
      </c>
      <c r="G286">
        <v>4</v>
      </c>
      <c r="H286" s="2">
        <v>91</v>
      </c>
      <c r="I286" s="2">
        <v>364</v>
      </c>
      <c r="J286" s="2">
        <v>240.89</v>
      </c>
      <c r="K286" s="2">
        <v>123.11</v>
      </c>
      <c r="L286" t="s">
        <v>21</v>
      </c>
    </row>
    <row r="287" spans="1:12" x14ac:dyDescent="0.35">
      <c r="A287" t="s">
        <v>496</v>
      </c>
      <c r="B287">
        <v>45573</v>
      </c>
      <c r="C287" t="s">
        <v>91</v>
      </c>
      <c r="D287" t="s">
        <v>24</v>
      </c>
      <c r="E287" t="s">
        <v>33</v>
      </c>
      <c r="F287" t="s">
        <v>92</v>
      </c>
      <c r="G287">
        <v>1</v>
      </c>
      <c r="H287" s="2">
        <v>81</v>
      </c>
      <c r="I287" s="2">
        <v>81</v>
      </c>
      <c r="J287" s="2">
        <v>63.51</v>
      </c>
      <c r="K287" s="2">
        <v>17.489999999999998</v>
      </c>
      <c r="L287" t="s">
        <v>17</v>
      </c>
    </row>
    <row r="288" spans="1:12" x14ac:dyDescent="0.35">
      <c r="A288" t="s">
        <v>497</v>
      </c>
      <c r="B288">
        <v>45446</v>
      </c>
      <c r="C288" t="s">
        <v>498</v>
      </c>
      <c r="D288" t="s">
        <v>14</v>
      </c>
      <c r="E288" t="s">
        <v>33</v>
      </c>
      <c r="F288" t="s">
        <v>55</v>
      </c>
      <c r="G288">
        <v>2</v>
      </c>
      <c r="H288" s="2">
        <v>49</v>
      </c>
      <c r="I288" s="2">
        <v>98</v>
      </c>
      <c r="J288" s="2">
        <v>52.84</v>
      </c>
      <c r="K288" s="2">
        <v>45.16</v>
      </c>
      <c r="L288" t="s">
        <v>35</v>
      </c>
    </row>
    <row r="289" spans="1:12" x14ac:dyDescent="0.35">
      <c r="A289" t="s">
        <v>499</v>
      </c>
      <c r="B289">
        <v>45538</v>
      </c>
      <c r="C289" t="s">
        <v>500</v>
      </c>
      <c r="D289" t="s">
        <v>24</v>
      </c>
      <c r="E289" t="s">
        <v>15</v>
      </c>
      <c r="F289" t="s">
        <v>20</v>
      </c>
      <c r="G289">
        <v>3</v>
      </c>
      <c r="H289" s="2">
        <v>47</v>
      </c>
      <c r="I289" s="2">
        <v>141</v>
      </c>
      <c r="J289" s="2">
        <v>77.81</v>
      </c>
      <c r="K289" s="2">
        <v>63.19</v>
      </c>
      <c r="L289" t="s">
        <v>44</v>
      </c>
    </row>
    <row r="290" spans="1:12" x14ac:dyDescent="0.35">
      <c r="A290" t="s">
        <v>501</v>
      </c>
      <c r="B290">
        <v>45317</v>
      </c>
      <c r="C290" t="s">
        <v>502</v>
      </c>
      <c r="D290" t="s">
        <v>28</v>
      </c>
      <c r="E290" t="s">
        <v>15</v>
      </c>
      <c r="F290" t="s">
        <v>25</v>
      </c>
      <c r="G290">
        <v>5</v>
      </c>
      <c r="H290" s="2">
        <v>58</v>
      </c>
      <c r="I290" s="2">
        <v>290</v>
      </c>
      <c r="J290" s="2">
        <v>207.24</v>
      </c>
      <c r="K290" s="2">
        <v>82.76</v>
      </c>
      <c r="L290" t="s">
        <v>21</v>
      </c>
    </row>
    <row r="291" spans="1:12" x14ac:dyDescent="0.35">
      <c r="A291" t="s">
        <v>503</v>
      </c>
      <c r="B291">
        <v>45522</v>
      </c>
      <c r="C291" t="s">
        <v>257</v>
      </c>
      <c r="D291" t="s">
        <v>28</v>
      </c>
      <c r="E291" t="s">
        <v>38</v>
      </c>
      <c r="F291" t="s">
        <v>52</v>
      </c>
      <c r="G291">
        <v>2</v>
      </c>
      <c r="H291" s="2">
        <v>46</v>
      </c>
      <c r="I291" s="2">
        <v>92</v>
      </c>
      <c r="J291" s="2">
        <v>72.3</v>
      </c>
      <c r="K291" s="2">
        <v>19.7</v>
      </c>
      <c r="L291" t="s">
        <v>44</v>
      </c>
    </row>
    <row r="292" spans="1:12" x14ac:dyDescent="0.35">
      <c r="A292" t="s">
        <v>504</v>
      </c>
      <c r="B292">
        <v>45527</v>
      </c>
      <c r="C292" t="s">
        <v>505</v>
      </c>
      <c r="D292" t="s">
        <v>24</v>
      </c>
      <c r="E292" t="s">
        <v>15</v>
      </c>
      <c r="F292" t="s">
        <v>16</v>
      </c>
      <c r="G292">
        <v>3</v>
      </c>
      <c r="H292" s="2">
        <v>80</v>
      </c>
      <c r="I292" s="2">
        <v>240</v>
      </c>
      <c r="J292" s="2">
        <v>187.26</v>
      </c>
      <c r="K292" s="2">
        <v>52.74</v>
      </c>
      <c r="L292" t="s">
        <v>44</v>
      </c>
    </row>
    <row r="293" spans="1:12" x14ac:dyDescent="0.35">
      <c r="A293" t="s">
        <v>506</v>
      </c>
      <c r="B293">
        <v>45609</v>
      </c>
      <c r="C293" t="s">
        <v>507</v>
      </c>
      <c r="D293" t="s">
        <v>28</v>
      </c>
      <c r="E293" t="s">
        <v>29</v>
      </c>
      <c r="F293" t="s">
        <v>75</v>
      </c>
      <c r="G293">
        <v>5</v>
      </c>
      <c r="H293" s="2">
        <v>36</v>
      </c>
      <c r="I293" s="2">
        <v>180</v>
      </c>
      <c r="J293" s="2">
        <v>143.85</v>
      </c>
      <c r="K293" s="2">
        <v>36.15</v>
      </c>
      <c r="L293" t="s">
        <v>17</v>
      </c>
    </row>
    <row r="294" spans="1:12" x14ac:dyDescent="0.35">
      <c r="A294" t="s">
        <v>508</v>
      </c>
      <c r="B294">
        <v>45569</v>
      </c>
      <c r="C294" t="s">
        <v>438</v>
      </c>
      <c r="D294" t="s">
        <v>14</v>
      </c>
      <c r="E294" t="s">
        <v>33</v>
      </c>
      <c r="F294" t="s">
        <v>55</v>
      </c>
      <c r="G294">
        <v>2</v>
      </c>
      <c r="H294" s="2">
        <v>34</v>
      </c>
      <c r="I294" s="2">
        <v>68</v>
      </c>
      <c r="J294" s="2">
        <v>52.01</v>
      </c>
      <c r="K294" s="2">
        <v>15.99</v>
      </c>
      <c r="L294" t="s">
        <v>44</v>
      </c>
    </row>
    <row r="295" spans="1:12" x14ac:dyDescent="0.35">
      <c r="A295" t="s">
        <v>509</v>
      </c>
      <c r="B295">
        <v>45466</v>
      </c>
      <c r="C295" t="s">
        <v>284</v>
      </c>
      <c r="D295" t="s">
        <v>28</v>
      </c>
      <c r="E295" t="s">
        <v>33</v>
      </c>
      <c r="F295" t="s">
        <v>34</v>
      </c>
      <c r="G295">
        <v>4</v>
      </c>
      <c r="H295" s="2">
        <v>42</v>
      </c>
      <c r="I295" s="2">
        <v>168</v>
      </c>
      <c r="J295" s="2">
        <v>118.3</v>
      </c>
      <c r="K295" s="2">
        <v>49.7</v>
      </c>
      <c r="L295" t="s">
        <v>21</v>
      </c>
    </row>
    <row r="296" spans="1:12" x14ac:dyDescent="0.35">
      <c r="A296" t="s">
        <v>510</v>
      </c>
      <c r="B296">
        <v>45296</v>
      </c>
      <c r="C296" t="s">
        <v>23</v>
      </c>
      <c r="D296" t="s">
        <v>24</v>
      </c>
      <c r="E296" t="s">
        <v>29</v>
      </c>
      <c r="F296" t="s">
        <v>30</v>
      </c>
      <c r="G296">
        <v>2</v>
      </c>
      <c r="H296" s="2">
        <v>38</v>
      </c>
      <c r="I296" s="2">
        <v>76</v>
      </c>
      <c r="J296" s="2">
        <v>52.97</v>
      </c>
      <c r="K296" s="2">
        <v>23.03</v>
      </c>
      <c r="L296" t="s">
        <v>17</v>
      </c>
    </row>
    <row r="297" spans="1:12" x14ac:dyDescent="0.35">
      <c r="A297" t="s">
        <v>511</v>
      </c>
      <c r="B297">
        <v>45302</v>
      </c>
      <c r="C297" t="s">
        <v>512</v>
      </c>
      <c r="D297" t="s">
        <v>28</v>
      </c>
      <c r="E297" t="s">
        <v>38</v>
      </c>
      <c r="F297" t="s">
        <v>39</v>
      </c>
      <c r="G297">
        <v>2</v>
      </c>
      <c r="H297" s="2">
        <v>87</v>
      </c>
      <c r="I297" s="2">
        <v>174</v>
      </c>
      <c r="J297" s="2">
        <v>97.52</v>
      </c>
      <c r="K297" s="2">
        <v>76.48</v>
      </c>
      <c r="L297" t="s">
        <v>17</v>
      </c>
    </row>
    <row r="298" spans="1:12" x14ac:dyDescent="0.35">
      <c r="A298" t="s">
        <v>513</v>
      </c>
      <c r="B298">
        <v>45320</v>
      </c>
      <c r="C298" t="s">
        <v>481</v>
      </c>
      <c r="D298" t="s">
        <v>28</v>
      </c>
      <c r="E298" t="s">
        <v>15</v>
      </c>
      <c r="F298" t="s">
        <v>16</v>
      </c>
      <c r="G298">
        <v>5</v>
      </c>
      <c r="H298" s="2">
        <v>86</v>
      </c>
      <c r="I298" s="2">
        <v>430</v>
      </c>
      <c r="J298" s="2">
        <v>265.08</v>
      </c>
      <c r="K298" s="2">
        <v>164.92</v>
      </c>
      <c r="L298" t="s">
        <v>17</v>
      </c>
    </row>
    <row r="299" spans="1:12" x14ac:dyDescent="0.35">
      <c r="A299" t="s">
        <v>514</v>
      </c>
      <c r="B299">
        <v>45321</v>
      </c>
      <c r="C299" t="s">
        <v>85</v>
      </c>
      <c r="D299" t="s">
        <v>28</v>
      </c>
      <c r="E299" t="s">
        <v>29</v>
      </c>
      <c r="F299" t="s">
        <v>47</v>
      </c>
      <c r="G299">
        <v>5</v>
      </c>
      <c r="H299" s="2">
        <v>52</v>
      </c>
      <c r="I299" s="2">
        <v>260</v>
      </c>
      <c r="J299" s="2">
        <v>143</v>
      </c>
      <c r="K299" s="2">
        <v>117</v>
      </c>
      <c r="L299" t="s">
        <v>17</v>
      </c>
    </row>
    <row r="300" spans="1:12" x14ac:dyDescent="0.35">
      <c r="A300" t="s">
        <v>515</v>
      </c>
      <c r="B300">
        <v>45656</v>
      </c>
      <c r="C300" t="s">
        <v>516</v>
      </c>
      <c r="D300" t="s">
        <v>42</v>
      </c>
      <c r="E300" t="s">
        <v>15</v>
      </c>
      <c r="F300" t="s">
        <v>25</v>
      </c>
      <c r="G300">
        <v>4</v>
      </c>
      <c r="H300" s="2">
        <v>20</v>
      </c>
      <c r="I300" s="2">
        <v>80</v>
      </c>
      <c r="J300" s="2">
        <v>60.86</v>
      </c>
      <c r="K300" s="2">
        <v>19.14</v>
      </c>
      <c r="L300" t="s">
        <v>21</v>
      </c>
    </row>
    <row r="301" spans="1:12" x14ac:dyDescent="0.35">
      <c r="A301" t="s">
        <v>517</v>
      </c>
      <c r="B301">
        <v>45475</v>
      </c>
      <c r="C301" t="s">
        <v>518</v>
      </c>
      <c r="D301" t="s">
        <v>28</v>
      </c>
      <c r="E301" t="s">
        <v>29</v>
      </c>
      <c r="F301" t="s">
        <v>47</v>
      </c>
      <c r="G301">
        <v>5</v>
      </c>
      <c r="H301" s="2">
        <v>90</v>
      </c>
      <c r="I301" s="2">
        <v>450</v>
      </c>
      <c r="J301" s="2">
        <v>275.79000000000002</v>
      </c>
      <c r="K301" s="2">
        <v>174.21</v>
      </c>
      <c r="L301" t="s">
        <v>44</v>
      </c>
    </row>
    <row r="302" spans="1:12" x14ac:dyDescent="0.35">
      <c r="A302" t="s">
        <v>519</v>
      </c>
      <c r="B302">
        <v>45422</v>
      </c>
      <c r="C302" t="s">
        <v>144</v>
      </c>
      <c r="D302" t="s">
        <v>28</v>
      </c>
      <c r="E302" t="s">
        <v>38</v>
      </c>
      <c r="F302" t="s">
        <v>52</v>
      </c>
      <c r="G302">
        <v>1</v>
      </c>
      <c r="H302" s="2">
        <v>42</v>
      </c>
      <c r="I302" s="2">
        <v>42</v>
      </c>
      <c r="J302" s="2">
        <v>25.32</v>
      </c>
      <c r="K302" s="2">
        <v>16.68</v>
      </c>
      <c r="L302" t="s">
        <v>35</v>
      </c>
    </row>
    <row r="303" spans="1:12" x14ac:dyDescent="0.35">
      <c r="A303" t="s">
        <v>520</v>
      </c>
      <c r="B303">
        <v>45391</v>
      </c>
      <c r="C303" t="s">
        <v>521</v>
      </c>
      <c r="D303" t="s">
        <v>14</v>
      </c>
      <c r="E303" t="s">
        <v>33</v>
      </c>
      <c r="F303" t="s">
        <v>34</v>
      </c>
      <c r="G303">
        <v>3</v>
      </c>
      <c r="H303" s="2">
        <v>95</v>
      </c>
      <c r="I303" s="2">
        <v>285</v>
      </c>
      <c r="J303" s="2">
        <v>157.76</v>
      </c>
      <c r="K303" s="2">
        <v>127.24</v>
      </c>
      <c r="L303" t="s">
        <v>17</v>
      </c>
    </row>
    <row r="304" spans="1:12" x14ac:dyDescent="0.35">
      <c r="A304" t="s">
        <v>522</v>
      </c>
      <c r="B304">
        <v>45396</v>
      </c>
      <c r="C304" t="s">
        <v>518</v>
      </c>
      <c r="D304" t="s">
        <v>24</v>
      </c>
      <c r="E304" t="s">
        <v>38</v>
      </c>
      <c r="F304" t="s">
        <v>39</v>
      </c>
      <c r="G304">
        <v>3</v>
      </c>
      <c r="H304" s="2">
        <v>23</v>
      </c>
      <c r="I304" s="2">
        <v>69</v>
      </c>
      <c r="J304" s="2">
        <v>47.06</v>
      </c>
      <c r="K304" s="2">
        <v>21.94</v>
      </c>
      <c r="L304" t="s">
        <v>44</v>
      </c>
    </row>
    <row r="305" spans="1:12" x14ac:dyDescent="0.35">
      <c r="A305" t="s">
        <v>523</v>
      </c>
      <c r="B305">
        <v>45522</v>
      </c>
      <c r="C305" t="s">
        <v>332</v>
      </c>
      <c r="D305" t="s">
        <v>14</v>
      </c>
      <c r="E305" t="s">
        <v>15</v>
      </c>
      <c r="F305" t="s">
        <v>20</v>
      </c>
      <c r="G305">
        <v>4</v>
      </c>
      <c r="H305" s="2">
        <v>46</v>
      </c>
      <c r="I305" s="2">
        <v>184</v>
      </c>
      <c r="J305" s="2">
        <v>142.80000000000001</v>
      </c>
      <c r="K305" s="2">
        <v>41.2</v>
      </c>
      <c r="L305" t="s">
        <v>35</v>
      </c>
    </row>
    <row r="306" spans="1:12" x14ac:dyDescent="0.35">
      <c r="A306" t="s">
        <v>524</v>
      </c>
      <c r="B306">
        <v>45503</v>
      </c>
      <c r="C306" t="s">
        <v>273</v>
      </c>
      <c r="D306" t="s">
        <v>24</v>
      </c>
      <c r="E306" t="s">
        <v>15</v>
      </c>
      <c r="F306" t="s">
        <v>16</v>
      </c>
      <c r="G306">
        <v>2</v>
      </c>
      <c r="H306" s="2">
        <v>19</v>
      </c>
      <c r="I306" s="2">
        <v>38</v>
      </c>
      <c r="J306" s="2">
        <v>27.12</v>
      </c>
      <c r="K306" s="2">
        <v>10.88</v>
      </c>
      <c r="L306" t="s">
        <v>17</v>
      </c>
    </row>
    <row r="307" spans="1:12" x14ac:dyDescent="0.35">
      <c r="A307" t="s">
        <v>525</v>
      </c>
      <c r="B307">
        <v>45593</v>
      </c>
      <c r="C307" t="s">
        <v>122</v>
      </c>
      <c r="D307" t="s">
        <v>28</v>
      </c>
      <c r="E307" t="s">
        <v>33</v>
      </c>
      <c r="F307" t="s">
        <v>34</v>
      </c>
      <c r="G307">
        <v>5</v>
      </c>
      <c r="H307" s="2">
        <v>25</v>
      </c>
      <c r="I307" s="2">
        <v>125</v>
      </c>
      <c r="J307" s="2">
        <v>88.35</v>
      </c>
      <c r="K307" s="2">
        <v>36.65</v>
      </c>
      <c r="L307" t="s">
        <v>21</v>
      </c>
    </row>
    <row r="308" spans="1:12" x14ac:dyDescent="0.35">
      <c r="A308" t="s">
        <v>526</v>
      </c>
      <c r="B308">
        <v>45473</v>
      </c>
      <c r="C308" t="s">
        <v>527</v>
      </c>
      <c r="D308" t="s">
        <v>42</v>
      </c>
      <c r="E308" t="s">
        <v>38</v>
      </c>
      <c r="F308" t="s">
        <v>52</v>
      </c>
      <c r="G308">
        <v>2</v>
      </c>
      <c r="H308" s="2">
        <v>88</v>
      </c>
      <c r="I308" s="2">
        <v>176</v>
      </c>
      <c r="J308" s="2">
        <v>110.36</v>
      </c>
      <c r="K308" s="2">
        <v>65.64</v>
      </c>
      <c r="L308" t="s">
        <v>17</v>
      </c>
    </row>
    <row r="309" spans="1:12" x14ac:dyDescent="0.35">
      <c r="A309" t="s">
        <v>528</v>
      </c>
      <c r="B309">
        <v>45654</v>
      </c>
      <c r="C309" t="s">
        <v>125</v>
      </c>
      <c r="D309" t="s">
        <v>42</v>
      </c>
      <c r="E309" t="s">
        <v>15</v>
      </c>
      <c r="F309" t="s">
        <v>16</v>
      </c>
      <c r="G309">
        <v>5</v>
      </c>
      <c r="H309" s="2">
        <v>84</v>
      </c>
      <c r="I309" s="2">
        <v>420</v>
      </c>
      <c r="J309" s="2">
        <v>322.93</v>
      </c>
      <c r="K309" s="2">
        <v>97.07</v>
      </c>
      <c r="L309" t="s">
        <v>44</v>
      </c>
    </row>
    <row r="310" spans="1:12" x14ac:dyDescent="0.35">
      <c r="A310" t="s">
        <v>529</v>
      </c>
      <c r="B310">
        <v>45637</v>
      </c>
      <c r="C310" t="s">
        <v>175</v>
      </c>
      <c r="D310" t="s">
        <v>24</v>
      </c>
      <c r="E310" t="s">
        <v>29</v>
      </c>
      <c r="F310" t="s">
        <v>30</v>
      </c>
      <c r="G310">
        <v>4</v>
      </c>
      <c r="H310" s="2">
        <v>12</v>
      </c>
      <c r="I310" s="2">
        <v>48</v>
      </c>
      <c r="J310" s="2">
        <v>35.67</v>
      </c>
      <c r="K310" s="2">
        <v>12.33</v>
      </c>
      <c r="L310" t="s">
        <v>44</v>
      </c>
    </row>
    <row r="311" spans="1:12" x14ac:dyDescent="0.35">
      <c r="A311" t="s">
        <v>530</v>
      </c>
      <c r="B311">
        <v>45605</v>
      </c>
      <c r="C311" t="s">
        <v>502</v>
      </c>
      <c r="D311" t="s">
        <v>14</v>
      </c>
      <c r="E311" t="s">
        <v>33</v>
      </c>
      <c r="F311" t="s">
        <v>55</v>
      </c>
      <c r="G311">
        <v>5</v>
      </c>
      <c r="H311" s="2">
        <v>32</v>
      </c>
      <c r="I311" s="2">
        <v>160</v>
      </c>
      <c r="J311" s="2">
        <v>116.28</v>
      </c>
      <c r="K311" s="2">
        <v>43.72</v>
      </c>
      <c r="L311" t="s">
        <v>17</v>
      </c>
    </row>
    <row r="312" spans="1:12" x14ac:dyDescent="0.35">
      <c r="A312" t="s">
        <v>531</v>
      </c>
      <c r="B312">
        <v>45346</v>
      </c>
      <c r="C312" t="s">
        <v>77</v>
      </c>
      <c r="D312" t="s">
        <v>24</v>
      </c>
      <c r="E312" t="s">
        <v>29</v>
      </c>
      <c r="F312" t="s">
        <v>30</v>
      </c>
      <c r="G312">
        <v>1</v>
      </c>
      <c r="H312" s="2">
        <v>43</v>
      </c>
      <c r="I312" s="2">
        <v>43</v>
      </c>
      <c r="J312" s="2">
        <v>25</v>
      </c>
      <c r="K312" s="2">
        <v>18</v>
      </c>
      <c r="L312" t="s">
        <v>44</v>
      </c>
    </row>
    <row r="313" spans="1:12" x14ac:dyDescent="0.35">
      <c r="A313" t="s">
        <v>532</v>
      </c>
      <c r="B313">
        <v>45647</v>
      </c>
      <c r="C313" t="s">
        <v>533</v>
      </c>
      <c r="D313" t="s">
        <v>28</v>
      </c>
      <c r="E313" t="s">
        <v>15</v>
      </c>
      <c r="F313" t="s">
        <v>25</v>
      </c>
      <c r="G313">
        <v>3</v>
      </c>
      <c r="H313" s="2">
        <v>65</v>
      </c>
      <c r="I313" s="2">
        <v>195</v>
      </c>
      <c r="J313" s="2">
        <v>110.02</v>
      </c>
      <c r="K313" s="2">
        <v>84.98</v>
      </c>
      <c r="L313" t="s">
        <v>17</v>
      </c>
    </row>
    <row r="314" spans="1:12" x14ac:dyDescent="0.35">
      <c r="A314" t="s">
        <v>534</v>
      </c>
      <c r="B314">
        <v>45532</v>
      </c>
      <c r="C314" t="s">
        <v>535</v>
      </c>
      <c r="D314" t="s">
        <v>42</v>
      </c>
      <c r="E314" t="s">
        <v>15</v>
      </c>
      <c r="F314" t="s">
        <v>25</v>
      </c>
      <c r="G314">
        <v>3</v>
      </c>
      <c r="H314" s="2">
        <v>45</v>
      </c>
      <c r="I314" s="2">
        <v>135</v>
      </c>
      <c r="J314" s="2">
        <v>71.56</v>
      </c>
      <c r="K314" s="2">
        <v>63.44</v>
      </c>
      <c r="L314" t="s">
        <v>21</v>
      </c>
    </row>
    <row r="315" spans="1:12" x14ac:dyDescent="0.35">
      <c r="A315" t="s">
        <v>536</v>
      </c>
      <c r="B315">
        <v>45625</v>
      </c>
      <c r="C315" t="s">
        <v>266</v>
      </c>
      <c r="D315" t="s">
        <v>24</v>
      </c>
      <c r="E315" t="s">
        <v>33</v>
      </c>
      <c r="F315" t="s">
        <v>55</v>
      </c>
      <c r="G315">
        <v>2</v>
      </c>
      <c r="H315" s="2">
        <v>25</v>
      </c>
      <c r="I315" s="2">
        <v>50</v>
      </c>
      <c r="J315" s="2">
        <v>29.02</v>
      </c>
      <c r="K315" s="2">
        <v>20.98</v>
      </c>
      <c r="L315" t="s">
        <v>35</v>
      </c>
    </row>
    <row r="316" spans="1:12" x14ac:dyDescent="0.35">
      <c r="A316" t="s">
        <v>537</v>
      </c>
      <c r="B316">
        <v>45574</v>
      </c>
      <c r="C316" t="s">
        <v>538</v>
      </c>
      <c r="D316" t="s">
        <v>42</v>
      </c>
      <c r="E316" t="s">
        <v>33</v>
      </c>
      <c r="F316" t="s">
        <v>92</v>
      </c>
      <c r="G316">
        <v>5</v>
      </c>
      <c r="H316" s="2">
        <v>55</v>
      </c>
      <c r="I316" s="2">
        <v>275</v>
      </c>
      <c r="J316" s="2">
        <v>211.59</v>
      </c>
      <c r="K316" s="2">
        <v>63.41</v>
      </c>
      <c r="L316" t="s">
        <v>17</v>
      </c>
    </row>
    <row r="317" spans="1:12" x14ac:dyDescent="0.35">
      <c r="A317" t="s">
        <v>539</v>
      </c>
      <c r="B317">
        <v>45611</v>
      </c>
      <c r="C317" t="s">
        <v>383</v>
      </c>
      <c r="D317" t="s">
        <v>28</v>
      </c>
      <c r="E317" t="s">
        <v>38</v>
      </c>
      <c r="F317" t="s">
        <v>39</v>
      </c>
      <c r="G317">
        <v>4</v>
      </c>
      <c r="H317" s="2">
        <v>55</v>
      </c>
      <c r="I317" s="2">
        <v>220</v>
      </c>
      <c r="J317" s="2">
        <v>126.27</v>
      </c>
      <c r="K317" s="2">
        <v>93.73</v>
      </c>
      <c r="L317" t="s">
        <v>44</v>
      </c>
    </row>
    <row r="318" spans="1:12" x14ac:dyDescent="0.35">
      <c r="A318" t="s">
        <v>540</v>
      </c>
      <c r="B318">
        <v>45479</v>
      </c>
      <c r="C318" t="s">
        <v>541</v>
      </c>
      <c r="D318" t="s">
        <v>14</v>
      </c>
      <c r="E318" t="s">
        <v>33</v>
      </c>
      <c r="F318" t="s">
        <v>34</v>
      </c>
      <c r="G318">
        <v>4</v>
      </c>
      <c r="H318" s="2">
        <v>31</v>
      </c>
      <c r="I318" s="2">
        <v>124</v>
      </c>
      <c r="J318" s="2">
        <v>77.69</v>
      </c>
      <c r="K318" s="2">
        <v>46.31</v>
      </c>
      <c r="L318" t="s">
        <v>17</v>
      </c>
    </row>
    <row r="319" spans="1:12" x14ac:dyDescent="0.35">
      <c r="A319" t="s">
        <v>542</v>
      </c>
      <c r="B319">
        <v>45410</v>
      </c>
      <c r="C319" t="s">
        <v>498</v>
      </c>
      <c r="D319" t="s">
        <v>14</v>
      </c>
      <c r="E319" t="s">
        <v>33</v>
      </c>
      <c r="F319" t="s">
        <v>92</v>
      </c>
      <c r="G319">
        <v>5</v>
      </c>
      <c r="H319" s="2">
        <v>61</v>
      </c>
      <c r="I319" s="2">
        <v>305</v>
      </c>
      <c r="J319" s="2">
        <v>169.43</v>
      </c>
      <c r="K319" s="2">
        <v>135.57</v>
      </c>
      <c r="L319" t="s">
        <v>21</v>
      </c>
    </row>
    <row r="320" spans="1:12" x14ac:dyDescent="0.35">
      <c r="A320" t="s">
        <v>543</v>
      </c>
      <c r="B320">
        <v>45604</v>
      </c>
      <c r="C320" t="s">
        <v>103</v>
      </c>
      <c r="D320" t="s">
        <v>28</v>
      </c>
      <c r="E320" t="s">
        <v>15</v>
      </c>
      <c r="F320" t="s">
        <v>20</v>
      </c>
      <c r="G320">
        <v>1</v>
      </c>
      <c r="H320" s="2">
        <v>63</v>
      </c>
      <c r="I320" s="2">
        <v>63</v>
      </c>
      <c r="J320" s="2">
        <v>36.94</v>
      </c>
      <c r="K320" s="2">
        <v>26.06</v>
      </c>
      <c r="L320" t="s">
        <v>35</v>
      </c>
    </row>
    <row r="321" spans="1:12" x14ac:dyDescent="0.35">
      <c r="A321" t="s">
        <v>544</v>
      </c>
      <c r="B321">
        <v>45640</v>
      </c>
      <c r="C321" t="s">
        <v>545</v>
      </c>
      <c r="D321" t="s">
        <v>42</v>
      </c>
      <c r="E321" t="s">
        <v>15</v>
      </c>
      <c r="F321" t="s">
        <v>16</v>
      </c>
      <c r="G321">
        <v>5</v>
      </c>
      <c r="H321" s="2">
        <v>70</v>
      </c>
      <c r="I321" s="2">
        <v>350</v>
      </c>
      <c r="J321" s="2">
        <v>175.36</v>
      </c>
      <c r="K321" s="2">
        <v>174.64</v>
      </c>
      <c r="L321" t="s">
        <v>17</v>
      </c>
    </row>
    <row r="322" spans="1:12" x14ac:dyDescent="0.35">
      <c r="A322" t="s">
        <v>546</v>
      </c>
      <c r="B322">
        <v>45461</v>
      </c>
      <c r="C322" t="s">
        <v>518</v>
      </c>
      <c r="D322" t="s">
        <v>42</v>
      </c>
      <c r="E322" t="s">
        <v>15</v>
      </c>
      <c r="F322" t="s">
        <v>25</v>
      </c>
      <c r="G322">
        <v>4</v>
      </c>
      <c r="H322" s="2">
        <v>92</v>
      </c>
      <c r="I322" s="2">
        <v>368</v>
      </c>
      <c r="J322" s="2">
        <v>263.23</v>
      </c>
      <c r="K322" s="2">
        <v>104.77</v>
      </c>
      <c r="L322" t="s">
        <v>44</v>
      </c>
    </row>
    <row r="323" spans="1:12" x14ac:dyDescent="0.35">
      <c r="A323" t="s">
        <v>547</v>
      </c>
      <c r="B323">
        <v>45423</v>
      </c>
      <c r="C323" t="s">
        <v>548</v>
      </c>
      <c r="D323" t="s">
        <v>28</v>
      </c>
      <c r="E323" t="s">
        <v>38</v>
      </c>
      <c r="F323" t="s">
        <v>39</v>
      </c>
      <c r="G323">
        <v>1</v>
      </c>
      <c r="H323" s="2">
        <v>22</v>
      </c>
      <c r="I323" s="2">
        <v>22</v>
      </c>
      <c r="J323" s="2">
        <v>16.649999999999999</v>
      </c>
      <c r="K323" s="2">
        <v>5.35</v>
      </c>
      <c r="L323" t="s">
        <v>35</v>
      </c>
    </row>
    <row r="324" spans="1:12" x14ac:dyDescent="0.35">
      <c r="A324" t="s">
        <v>549</v>
      </c>
      <c r="B324">
        <v>45382</v>
      </c>
      <c r="C324" t="s">
        <v>398</v>
      </c>
      <c r="D324" t="s">
        <v>28</v>
      </c>
      <c r="E324" t="s">
        <v>29</v>
      </c>
      <c r="F324" t="s">
        <v>47</v>
      </c>
      <c r="G324">
        <v>3</v>
      </c>
      <c r="H324" s="2">
        <v>65</v>
      </c>
      <c r="I324" s="2">
        <v>195</v>
      </c>
      <c r="J324" s="2">
        <v>101.56</v>
      </c>
      <c r="K324" s="2">
        <v>93.44</v>
      </c>
      <c r="L324" t="s">
        <v>44</v>
      </c>
    </row>
    <row r="325" spans="1:12" x14ac:dyDescent="0.35">
      <c r="A325" t="s">
        <v>550</v>
      </c>
      <c r="B325">
        <v>45365</v>
      </c>
      <c r="C325" t="s">
        <v>72</v>
      </c>
      <c r="D325" t="s">
        <v>14</v>
      </c>
      <c r="E325" t="s">
        <v>15</v>
      </c>
      <c r="F325" t="s">
        <v>25</v>
      </c>
      <c r="G325">
        <v>4</v>
      </c>
      <c r="H325" s="2">
        <v>10</v>
      </c>
      <c r="I325" s="2">
        <v>40</v>
      </c>
      <c r="J325" s="2">
        <v>21.55</v>
      </c>
      <c r="K325" s="2">
        <v>18.45</v>
      </c>
      <c r="L325" t="s">
        <v>44</v>
      </c>
    </row>
    <row r="326" spans="1:12" x14ac:dyDescent="0.35">
      <c r="A326" t="s">
        <v>551</v>
      </c>
      <c r="B326">
        <v>45461</v>
      </c>
      <c r="C326" t="s">
        <v>552</v>
      </c>
      <c r="D326" t="s">
        <v>24</v>
      </c>
      <c r="E326" t="s">
        <v>33</v>
      </c>
      <c r="F326" t="s">
        <v>55</v>
      </c>
      <c r="G326">
        <v>5</v>
      </c>
      <c r="H326" s="2">
        <v>89</v>
      </c>
      <c r="I326" s="2">
        <v>445</v>
      </c>
      <c r="J326" s="2">
        <v>318.58999999999997</v>
      </c>
      <c r="K326" s="2">
        <v>126.41</v>
      </c>
      <c r="L326" t="s">
        <v>17</v>
      </c>
    </row>
    <row r="327" spans="1:12" x14ac:dyDescent="0.35">
      <c r="A327" t="s">
        <v>553</v>
      </c>
      <c r="B327">
        <v>45299</v>
      </c>
      <c r="C327" t="s">
        <v>512</v>
      </c>
      <c r="D327" t="s">
        <v>14</v>
      </c>
      <c r="E327" t="s">
        <v>38</v>
      </c>
      <c r="F327" t="s">
        <v>52</v>
      </c>
      <c r="G327">
        <v>4</v>
      </c>
      <c r="H327" s="2">
        <v>64</v>
      </c>
      <c r="I327" s="2">
        <v>256</v>
      </c>
      <c r="J327" s="2">
        <v>149.54</v>
      </c>
      <c r="K327" s="2">
        <v>106.46</v>
      </c>
      <c r="L327" t="s">
        <v>21</v>
      </c>
    </row>
    <row r="328" spans="1:12" x14ac:dyDescent="0.35">
      <c r="A328" t="s">
        <v>554</v>
      </c>
      <c r="B328">
        <v>45357</v>
      </c>
      <c r="C328" t="s">
        <v>340</v>
      </c>
      <c r="D328" t="s">
        <v>24</v>
      </c>
      <c r="E328" t="s">
        <v>29</v>
      </c>
      <c r="F328" t="s">
        <v>30</v>
      </c>
      <c r="G328">
        <v>2</v>
      </c>
      <c r="H328" s="2">
        <v>22</v>
      </c>
      <c r="I328" s="2">
        <v>44</v>
      </c>
      <c r="J328" s="2">
        <v>27.47</v>
      </c>
      <c r="K328" s="2">
        <v>16.53</v>
      </c>
      <c r="L328" t="s">
        <v>44</v>
      </c>
    </row>
    <row r="329" spans="1:12" x14ac:dyDescent="0.35">
      <c r="A329" t="s">
        <v>555</v>
      </c>
      <c r="B329">
        <v>45422</v>
      </c>
      <c r="C329" t="s">
        <v>556</v>
      </c>
      <c r="D329" t="s">
        <v>14</v>
      </c>
      <c r="E329" t="s">
        <v>33</v>
      </c>
      <c r="F329" t="s">
        <v>55</v>
      </c>
      <c r="G329">
        <v>1</v>
      </c>
      <c r="H329" s="2">
        <v>95</v>
      </c>
      <c r="I329" s="2">
        <v>95</v>
      </c>
      <c r="J329" s="2">
        <v>60.08</v>
      </c>
      <c r="K329" s="2">
        <v>34.92</v>
      </c>
      <c r="L329" t="s">
        <v>44</v>
      </c>
    </row>
    <row r="330" spans="1:12" x14ac:dyDescent="0.35">
      <c r="A330" t="s">
        <v>557</v>
      </c>
      <c r="B330">
        <v>45429</v>
      </c>
      <c r="C330" t="s">
        <v>214</v>
      </c>
      <c r="D330" t="s">
        <v>14</v>
      </c>
      <c r="E330" t="s">
        <v>15</v>
      </c>
      <c r="F330" t="s">
        <v>16</v>
      </c>
      <c r="G330">
        <v>4</v>
      </c>
      <c r="H330" s="2">
        <v>56</v>
      </c>
      <c r="I330" s="2">
        <v>224</v>
      </c>
      <c r="J330" s="2">
        <v>162.97999999999999</v>
      </c>
      <c r="K330" s="2">
        <v>61.02</v>
      </c>
      <c r="L330" t="s">
        <v>35</v>
      </c>
    </row>
    <row r="331" spans="1:12" x14ac:dyDescent="0.35">
      <c r="A331" t="s">
        <v>558</v>
      </c>
      <c r="B331">
        <v>45498</v>
      </c>
      <c r="C331" t="s">
        <v>559</v>
      </c>
      <c r="D331" t="s">
        <v>24</v>
      </c>
      <c r="E331" t="s">
        <v>29</v>
      </c>
      <c r="F331" t="s">
        <v>43</v>
      </c>
      <c r="G331">
        <v>2</v>
      </c>
      <c r="H331" s="2">
        <v>67</v>
      </c>
      <c r="I331" s="2">
        <v>134</v>
      </c>
      <c r="J331" s="2">
        <v>82.08</v>
      </c>
      <c r="K331" s="2">
        <v>51.92</v>
      </c>
      <c r="L331" t="s">
        <v>21</v>
      </c>
    </row>
    <row r="332" spans="1:12" x14ac:dyDescent="0.35">
      <c r="A332" t="s">
        <v>560</v>
      </c>
      <c r="B332">
        <v>45551</v>
      </c>
      <c r="C332" t="s">
        <v>342</v>
      </c>
      <c r="D332" t="s">
        <v>28</v>
      </c>
      <c r="E332" t="s">
        <v>33</v>
      </c>
      <c r="F332" t="s">
        <v>92</v>
      </c>
      <c r="G332">
        <v>5</v>
      </c>
      <c r="H332" s="2">
        <v>77</v>
      </c>
      <c r="I332" s="2">
        <v>385</v>
      </c>
      <c r="J332" s="2">
        <v>289.89</v>
      </c>
      <c r="K332" s="2">
        <v>95.11</v>
      </c>
      <c r="L332" t="s">
        <v>44</v>
      </c>
    </row>
    <row r="333" spans="1:12" x14ac:dyDescent="0.35">
      <c r="A333" t="s">
        <v>561</v>
      </c>
      <c r="B333">
        <v>45532</v>
      </c>
      <c r="C333" t="s">
        <v>562</v>
      </c>
      <c r="D333" t="s">
        <v>28</v>
      </c>
      <c r="E333" t="s">
        <v>29</v>
      </c>
      <c r="F333" t="s">
        <v>43</v>
      </c>
      <c r="G333">
        <v>1</v>
      </c>
      <c r="H333" s="2">
        <v>55</v>
      </c>
      <c r="I333" s="2">
        <v>55</v>
      </c>
      <c r="J333" s="2">
        <v>40.1</v>
      </c>
      <c r="K333" s="2">
        <v>14.9</v>
      </c>
      <c r="L333" t="s">
        <v>44</v>
      </c>
    </row>
    <row r="334" spans="1:12" x14ac:dyDescent="0.35">
      <c r="A334" t="s">
        <v>563</v>
      </c>
      <c r="B334">
        <v>45442</v>
      </c>
      <c r="C334" t="s">
        <v>445</v>
      </c>
      <c r="D334" t="s">
        <v>42</v>
      </c>
      <c r="E334" t="s">
        <v>33</v>
      </c>
      <c r="F334" t="s">
        <v>55</v>
      </c>
      <c r="G334">
        <v>1</v>
      </c>
      <c r="H334" s="2">
        <v>25</v>
      </c>
      <c r="I334" s="2">
        <v>25</v>
      </c>
      <c r="J334" s="2">
        <v>12.98</v>
      </c>
      <c r="K334" s="2">
        <v>12.02</v>
      </c>
      <c r="L334" t="s">
        <v>44</v>
      </c>
    </row>
    <row r="335" spans="1:12" x14ac:dyDescent="0.35">
      <c r="A335" t="s">
        <v>564</v>
      </c>
      <c r="B335">
        <v>45530</v>
      </c>
      <c r="C335" t="s">
        <v>565</v>
      </c>
      <c r="D335" t="s">
        <v>14</v>
      </c>
      <c r="E335" t="s">
        <v>15</v>
      </c>
      <c r="F335" t="s">
        <v>20</v>
      </c>
      <c r="G335">
        <v>3</v>
      </c>
      <c r="H335" s="2">
        <v>76</v>
      </c>
      <c r="I335" s="2">
        <v>228</v>
      </c>
      <c r="J335" s="2">
        <v>134.66</v>
      </c>
      <c r="K335" s="2">
        <v>93.34</v>
      </c>
      <c r="L335" t="s">
        <v>17</v>
      </c>
    </row>
    <row r="336" spans="1:12" x14ac:dyDescent="0.35">
      <c r="A336" t="s">
        <v>566</v>
      </c>
      <c r="B336">
        <v>45583</v>
      </c>
      <c r="C336" t="s">
        <v>273</v>
      </c>
      <c r="D336" t="s">
        <v>24</v>
      </c>
      <c r="E336" t="s">
        <v>29</v>
      </c>
      <c r="F336" t="s">
        <v>47</v>
      </c>
      <c r="G336">
        <v>4</v>
      </c>
      <c r="H336" s="2">
        <v>28</v>
      </c>
      <c r="I336" s="2">
        <v>112</v>
      </c>
      <c r="J336" s="2">
        <v>82.16</v>
      </c>
      <c r="K336" s="2">
        <v>29.84</v>
      </c>
      <c r="L336" t="s">
        <v>44</v>
      </c>
    </row>
    <row r="337" spans="1:12" x14ac:dyDescent="0.35">
      <c r="A337" t="s">
        <v>567</v>
      </c>
      <c r="B337">
        <v>45316</v>
      </c>
      <c r="C337" t="s">
        <v>568</v>
      </c>
      <c r="D337" t="s">
        <v>14</v>
      </c>
      <c r="E337" t="s">
        <v>33</v>
      </c>
      <c r="F337" t="s">
        <v>34</v>
      </c>
      <c r="G337">
        <v>5</v>
      </c>
      <c r="H337" s="2">
        <v>81</v>
      </c>
      <c r="I337" s="2">
        <v>405</v>
      </c>
      <c r="J337" s="2">
        <v>220.37</v>
      </c>
      <c r="K337" s="2">
        <v>184.63</v>
      </c>
      <c r="L337" t="s">
        <v>21</v>
      </c>
    </row>
    <row r="338" spans="1:12" x14ac:dyDescent="0.35">
      <c r="A338" t="s">
        <v>569</v>
      </c>
      <c r="B338">
        <v>45416</v>
      </c>
      <c r="C338" t="s">
        <v>570</v>
      </c>
      <c r="D338" t="s">
        <v>28</v>
      </c>
      <c r="E338" t="s">
        <v>33</v>
      </c>
      <c r="F338" t="s">
        <v>55</v>
      </c>
      <c r="G338">
        <v>4</v>
      </c>
      <c r="H338" s="2">
        <v>30</v>
      </c>
      <c r="I338" s="2">
        <v>120</v>
      </c>
      <c r="J338" s="2">
        <v>67.62</v>
      </c>
      <c r="K338" s="2">
        <v>52.38</v>
      </c>
      <c r="L338" t="s">
        <v>35</v>
      </c>
    </row>
    <row r="339" spans="1:12" x14ac:dyDescent="0.35">
      <c r="A339" t="s">
        <v>571</v>
      </c>
      <c r="B339">
        <v>45460</v>
      </c>
      <c r="C339" t="s">
        <v>572</v>
      </c>
      <c r="D339" t="s">
        <v>28</v>
      </c>
      <c r="E339" t="s">
        <v>38</v>
      </c>
      <c r="F339" t="s">
        <v>52</v>
      </c>
      <c r="G339">
        <v>5</v>
      </c>
      <c r="H339" s="2">
        <v>29</v>
      </c>
      <c r="I339" s="2">
        <v>145</v>
      </c>
      <c r="J339" s="2">
        <v>87.3</v>
      </c>
      <c r="K339" s="2">
        <v>57.7</v>
      </c>
      <c r="L339" t="s">
        <v>44</v>
      </c>
    </row>
    <row r="340" spans="1:12" x14ac:dyDescent="0.35">
      <c r="A340" t="s">
        <v>573</v>
      </c>
      <c r="B340">
        <v>45375</v>
      </c>
      <c r="C340" t="s">
        <v>320</v>
      </c>
      <c r="D340" t="s">
        <v>14</v>
      </c>
      <c r="E340" t="s">
        <v>33</v>
      </c>
      <c r="F340" t="s">
        <v>55</v>
      </c>
      <c r="G340">
        <v>5</v>
      </c>
      <c r="H340" s="2">
        <v>72</v>
      </c>
      <c r="I340" s="2">
        <v>360</v>
      </c>
      <c r="J340" s="2">
        <v>190.6</v>
      </c>
      <c r="K340" s="2">
        <v>169.4</v>
      </c>
      <c r="L340" t="s">
        <v>35</v>
      </c>
    </row>
    <row r="341" spans="1:12" x14ac:dyDescent="0.35">
      <c r="A341" t="s">
        <v>574</v>
      </c>
      <c r="B341">
        <v>45351</v>
      </c>
      <c r="C341" t="s">
        <v>193</v>
      </c>
      <c r="D341" t="s">
        <v>28</v>
      </c>
      <c r="E341" t="s">
        <v>38</v>
      </c>
      <c r="F341" t="s">
        <v>52</v>
      </c>
      <c r="G341">
        <v>2</v>
      </c>
      <c r="H341" s="2">
        <v>30</v>
      </c>
      <c r="I341" s="2">
        <v>60</v>
      </c>
      <c r="J341" s="2">
        <v>43.72</v>
      </c>
      <c r="K341" s="2">
        <v>16.28</v>
      </c>
      <c r="L341" t="s">
        <v>21</v>
      </c>
    </row>
    <row r="342" spans="1:12" x14ac:dyDescent="0.35">
      <c r="A342" t="s">
        <v>575</v>
      </c>
      <c r="B342">
        <v>45424</v>
      </c>
      <c r="C342" t="s">
        <v>159</v>
      </c>
      <c r="D342" t="s">
        <v>14</v>
      </c>
      <c r="E342" t="s">
        <v>38</v>
      </c>
      <c r="F342" t="s">
        <v>39</v>
      </c>
      <c r="G342">
        <v>3</v>
      </c>
      <c r="H342" s="2">
        <v>10</v>
      </c>
      <c r="I342" s="2">
        <v>30</v>
      </c>
      <c r="J342" s="2">
        <v>19.690000000000001</v>
      </c>
      <c r="K342" s="2">
        <v>10.31</v>
      </c>
      <c r="L342" t="s">
        <v>35</v>
      </c>
    </row>
    <row r="343" spans="1:12" x14ac:dyDescent="0.35">
      <c r="A343" t="s">
        <v>576</v>
      </c>
      <c r="B343">
        <v>45313</v>
      </c>
      <c r="C343" t="s">
        <v>288</v>
      </c>
      <c r="D343" t="s">
        <v>42</v>
      </c>
      <c r="E343" t="s">
        <v>33</v>
      </c>
      <c r="F343" t="s">
        <v>55</v>
      </c>
      <c r="G343">
        <v>2</v>
      </c>
      <c r="H343" s="2">
        <v>55</v>
      </c>
      <c r="I343" s="2">
        <v>110</v>
      </c>
      <c r="J343" s="2">
        <v>63.75</v>
      </c>
      <c r="K343" s="2">
        <v>46.25</v>
      </c>
      <c r="L343" t="s">
        <v>35</v>
      </c>
    </row>
    <row r="344" spans="1:12" x14ac:dyDescent="0.35">
      <c r="A344" t="s">
        <v>577</v>
      </c>
      <c r="B344">
        <v>45570</v>
      </c>
      <c r="C344" t="s">
        <v>578</v>
      </c>
      <c r="D344" t="s">
        <v>24</v>
      </c>
      <c r="E344" t="s">
        <v>15</v>
      </c>
      <c r="F344" t="s">
        <v>25</v>
      </c>
      <c r="G344">
        <v>2</v>
      </c>
      <c r="H344" s="2">
        <v>94</v>
      </c>
      <c r="I344" s="2">
        <v>188</v>
      </c>
      <c r="J344" s="2">
        <v>140.84</v>
      </c>
      <c r="K344" s="2">
        <v>47.16</v>
      </c>
      <c r="L344" t="s">
        <v>35</v>
      </c>
    </row>
    <row r="345" spans="1:12" x14ac:dyDescent="0.35">
      <c r="A345" t="s">
        <v>579</v>
      </c>
      <c r="B345">
        <v>45607</v>
      </c>
      <c r="C345" t="s">
        <v>559</v>
      </c>
      <c r="D345" t="s">
        <v>24</v>
      </c>
      <c r="E345" t="s">
        <v>33</v>
      </c>
      <c r="F345" t="s">
        <v>55</v>
      </c>
      <c r="G345">
        <v>3</v>
      </c>
      <c r="H345" s="2">
        <v>69</v>
      </c>
      <c r="I345" s="2">
        <v>207</v>
      </c>
      <c r="J345" s="2">
        <v>164.35</v>
      </c>
      <c r="K345" s="2">
        <v>42.65</v>
      </c>
      <c r="L345" t="s">
        <v>44</v>
      </c>
    </row>
    <row r="346" spans="1:12" x14ac:dyDescent="0.35">
      <c r="A346" t="s">
        <v>580</v>
      </c>
      <c r="B346">
        <v>45608</v>
      </c>
      <c r="C346" t="s">
        <v>581</v>
      </c>
      <c r="D346" t="s">
        <v>14</v>
      </c>
      <c r="E346" t="s">
        <v>38</v>
      </c>
      <c r="F346" t="s">
        <v>39</v>
      </c>
      <c r="G346">
        <v>4</v>
      </c>
      <c r="H346" s="2">
        <v>13</v>
      </c>
      <c r="I346" s="2">
        <v>52</v>
      </c>
      <c r="J346" s="2">
        <v>33.01</v>
      </c>
      <c r="K346" s="2">
        <v>18.989999999999998</v>
      </c>
      <c r="L346" t="s">
        <v>17</v>
      </c>
    </row>
    <row r="347" spans="1:12" x14ac:dyDescent="0.35">
      <c r="A347" t="s">
        <v>582</v>
      </c>
      <c r="B347">
        <v>45452</v>
      </c>
      <c r="C347" t="s">
        <v>440</v>
      </c>
      <c r="D347" t="s">
        <v>42</v>
      </c>
      <c r="E347" t="s">
        <v>29</v>
      </c>
      <c r="F347" t="s">
        <v>30</v>
      </c>
      <c r="G347">
        <v>1</v>
      </c>
      <c r="H347" s="2">
        <v>57</v>
      </c>
      <c r="I347" s="2">
        <v>57</v>
      </c>
      <c r="J347" s="2">
        <v>40.25</v>
      </c>
      <c r="K347" s="2">
        <v>16.75</v>
      </c>
      <c r="L347" t="s">
        <v>21</v>
      </c>
    </row>
    <row r="348" spans="1:12" x14ac:dyDescent="0.35">
      <c r="A348" t="s">
        <v>583</v>
      </c>
      <c r="B348">
        <v>45622</v>
      </c>
      <c r="C348" t="s">
        <v>584</v>
      </c>
      <c r="D348" t="s">
        <v>24</v>
      </c>
      <c r="E348" t="s">
        <v>29</v>
      </c>
      <c r="F348" t="s">
        <v>75</v>
      </c>
      <c r="G348">
        <v>1</v>
      </c>
      <c r="H348" s="2">
        <v>62</v>
      </c>
      <c r="I348" s="2">
        <v>62</v>
      </c>
      <c r="J348" s="2">
        <v>45.58</v>
      </c>
      <c r="K348" s="2">
        <v>16.420000000000002</v>
      </c>
      <c r="L348" t="s">
        <v>35</v>
      </c>
    </row>
    <row r="349" spans="1:12" x14ac:dyDescent="0.35">
      <c r="A349" t="s">
        <v>585</v>
      </c>
      <c r="B349">
        <v>45381</v>
      </c>
      <c r="C349" t="s">
        <v>586</v>
      </c>
      <c r="D349" t="s">
        <v>28</v>
      </c>
      <c r="E349" t="s">
        <v>29</v>
      </c>
      <c r="F349" t="s">
        <v>47</v>
      </c>
      <c r="G349">
        <v>2</v>
      </c>
      <c r="H349" s="2">
        <v>32</v>
      </c>
      <c r="I349" s="2">
        <v>64</v>
      </c>
      <c r="J349" s="2">
        <v>37.21</v>
      </c>
      <c r="K349" s="2">
        <v>26.79</v>
      </c>
      <c r="L349" t="s">
        <v>44</v>
      </c>
    </row>
    <row r="350" spans="1:12" x14ac:dyDescent="0.35">
      <c r="A350" t="s">
        <v>587</v>
      </c>
      <c r="B350">
        <v>45313</v>
      </c>
      <c r="C350" t="s">
        <v>588</v>
      </c>
      <c r="D350" t="s">
        <v>24</v>
      </c>
      <c r="E350" t="s">
        <v>33</v>
      </c>
      <c r="F350" t="s">
        <v>92</v>
      </c>
      <c r="G350">
        <v>2</v>
      </c>
      <c r="H350" s="2">
        <v>52</v>
      </c>
      <c r="I350" s="2">
        <v>104</v>
      </c>
      <c r="J350" s="2">
        <v>56.26</v>
      </c>
      <c r="K350" s="2">
        <v>47.74</v>
      </c>
      <c r="L350" t="s">
        <v>35</v>
      </c>
    </row>
    <row r="351" spans="1:12" x14ac:dyDescent="0.35">
      <c r="A351" t="s">
        <v>589</v>
      </c>
      <c r="B351">
        <v>45460</v>
      </c>
      <c r="C351" t="s">
        <v>590</v>
      </c>
      <c r="D351" t="s">
        <v>24</v>
      </c>
      <c r="E351" t="s">
        <v>15</v>
      </c>
      <c r="F351" t="s">
        <v>25</v>
      </c>
      <c r="G351">
        <v>1</v>
      </c>
      <c r="H351" s="2">
        <v>34</v>
      </c>
      <c r="I351" s="2">
        <v>34</v>
      </c>
      <c r="J351" s="2">
        <v>17.11</v>
      </c>
      <c r="K351" s="2">
        <v>16.89</v>
      </c>
      <c r="L351" t="s">
        <v>17</v>
      </c>
    </row>
    <row r="352" spans="1:12" x14ac:dyDescent="0.35">
      <c r="A352" t="s">
        <v>591</v>
      </c>
      <c r="B352">
        <v>45455</v>
      </c>
      <c r="C352" t="s">
        <v>533</v>
      </c>
      <c r="D352" t="s">
        <v>42</v>
      </c>
      <c r="E352" t="s">
        <v>29</v>
      </c>
      <c r="F352" t="s">
        <v>43</v>
      </c>
      <c r="G352">
        <v>2</v>
      </c>
      <c r="H352" s="2">
        <v>96</v>
      </c>
      <c r="I352" s="2">
        <v>192</v>
      </c>
      <c r="J352" s="2">
        <v>143.6</v>
      </c>
      <c r="K352" s="2">
        <v>48.4</v>
      </c>
      <c r="L352" t="s">
        <v>44</v>
      </c>
    </row>
    <row r="353" spans="1:12" x14ac:dyDescent="0.35">
      <c r="A353" t="s">
        <v>592</v>
      </c>
      <c r="B353">
        <v>45611</v>
      </c>
      <c r="C353" t="s">
        <v>218</v>
      </c>
      <c r="D353" t="s">
        <v>14</v>
      </c>
      <c r="E353" t="s">
        <v>15</v>
      </c>
      <c r="F353" t="s">
        <v>16</v>
      </c>
      <c r="G353">
        <v>1</v>
      </c>
      <c r="H353" s="2">
        <v>86</v>
      </c>
      <c r="I353" s="2">
        <v>86</v>
      </c>
      <c r="J353" s="2">
        <v>47.33</v>
      </c>
      <c r="K353" s="2">
        <v>38.67</v>
      </c>
      <c r="L353" t="s">
        <v>17</v>
      </c>
    </row>
    <row r="354" spans="1:12" x14ac:dyDescent="0.35">
      <c r="A354" t="s">
        <v>593</v>
      </c>
      <c r="B354">
        <v>45409</v>
      </c>
      <c r="C354" t="s">
        <v>153</v>
      </c>
      <c r="D354" t="s">
        <v>42</v>
      </c>
      <c r="E354" t="s">
        <v>29</v>
      </c>
      <c r="F354" t="s">
        <v>75</v>
      </c>
      <c r="G354">
        <v>1</v>
      </c>
      <c r="H354" s="2">
        <v>73</v>
      </c>
      <c r="I354" s="2">
        <v>73</v>
      </c>
      <c r="J354" s="2">
        <v>45.2</v>
      </c>
      <c r="K354" s="2">
        <v>27.8</v>
      </c>
      <c r="L354" t="s">
        <v>44</v>
      </c>
    </row>
    <row r="355" spans="1:12" x14ac:dyDescent="0.35">
      <c r="A355" t="s">
        <v>594</v>
      </c>
      <c r="B355">
        <v>45343</v>
      </c>
      <c r="C355" t="s">
        <v>595</v>
      </c>
      <c r="D355" t="s">
        <v>14</v>
      </c>
      <c r="E355" t="s">
        <v>33</v>
      </c>
      <c r="F355" t="s">
        <v>55</v>
      </c>
      <c r="G355">
        <v>1</v>
      </c>
      <c r="H355" s="2">
        <v>59</v>
      </c>
      <c r="I355" s="2">
        <v>59</v>
      </c>
      <c r="J355" s="2">
        <v>36.369999999999997</v>
      </c>
      <c r="K355" s="2">
        <v>22.63</v>
      </c>
      <c r="L355" t="s">
        <v>35</v>
      </c>
    </row>
    <row r="356" spans="1:12" x14ac:dyDescent="0.35">
      <c r="A356" t="s">
        <v>596</v>
      </c>
      <c r="B356">
        <v>45498</v>
      </c>
      <c r="C356" t="s">
        <v>527</v>
      </c>
      <c r="D356" t="s">
        <v>28</v>
      </c>
      <c r="E356" t="s">
        <v>33</v>
      </c>
      <c r="F356" t="s">
        <v>34</v>
      </c>
      <c r="G356">
        <v>1</v>
      </c>
      <c r="H356" s="2">
        <v>80</v>
      </c>
      <c r="I356" s="2">
        <v>80</v>
      </c>
      <c r="J356" s="2">
        <v>42.77</v>
      </c>
      <c r="K356" s="2">
        <v>37.229999999999997</v>
      </c>
      <c r="L356" t="s">
        <v>44</v>
      </c>
    </row>
    <row r="357" spans="1:12" x14ac:dyDescent="0.35">
      <c r="A357" t="s">
        <v>597</v>
      </c>
      <c r="B357">
        <v>45477</v>
      </c>
      <c r="C357" t="s">
        <v>398</v>
      </c>
      <c r="D357" t="s">
        <v>28</v>
      </c>
      <c r="E357" t="s">
        <v>38</v>
      </c>
      <c r="F357" t="s">
        <v>39</v>
      </c>
      <c r="G357">
        <v>2</v>
      </c>
      <c r="H357" s="2">
        <v>66</v>
      </c>
      <c r="I357" s="2">
        <v>132</v>
      </c>
      <c r="J357" s="2">
        <v>71.290000000000006</v>
      </c>
      <c r="K357" s="2">
        <v>60.71</v>
      </c>
      <c r="L357" t="s">
        <v>21</v>
      </c>
    </row>
    <row r="358" spans="1:12" x14ac:dyDescent="0.35">
      <c r="A358" t="s">
        <v>598</v>
      </c>
      <c r="B358">
        <v>45532</v>
      </c>
      <c r="C358" t="s">
        <v>498</v>
      </c>
      <c r="D358" t="s">
        <v>24</v>
      </c>
      <c r="E358" t="s">
        <v>29</v>
      </c>
      <c r="F358" t="s">
        <v>47</v>
      </c>
      <c r="G358">
        <v>2</v>
      </c>
      <c r="H358" s="2">
        <v>94</v>
      </c>
      <c r="I358" s="2">
        <v>188</v>
      </c>
      <c r="J358" s="2">
        <v>117.75</v>
      </c>
      <c r="K358" s="2">
        <v>70.25</v>
      </c>
      <c r="L358" t="s">
        <v>35</v>
      </c>
    </row>
    <row r="359" spans="1:12" x14ac:dyDescent="0.35">
      <c r="A359" t="s">
        <v>599</v>
      </c>
      <c r="B359">
        <v>45322</v>
      </c>
      <c r="C359" t="s">
        <v>486</v>
      </c>
      <c r="D359" t="s">
        <v>14</v>
      </c>
      <c r="E359" t="s">
        <v>38</v>
      </c>
      <c r="F359" t="s">
        <v>52</v>
      </c>
      <c r="G359">
        <v>1</v>
      </c>
      <c r="H359" s="2">
        <v>69</v>
      </c>
      <c r="I359" s="2">
        <v>69</v>
      </c>
      <c r="J359" s="2">
        <v>48.24</v>
      </c>
      <c r="K359" s="2">
        <v>20.76</v>
      </c>
      <c r="L359" t="s">
        <v>44</v>
      </c>
    </row>
    <row r="360" spans="1:12" x14ac:dyDescent="0.35">
      <c r="A360" t="s">
        <v>600</v>
      </c>
      <c r="B360">
        <v>45448</v>
      </c>
      <c r="C360" t="s">
        <v>601</v>
      </c>
      <c r="D360" t="s">
        <v>24</v>
      </c>
      <c r="E360" t="s">
        <v>15</v>
      </c>
      <c r="F360" t="s">
        <v>25</v>
      </c>
      <c r="G360">
        <v>3</v>
      </c>
      <c r="H360" s="2">
        <v>84</v>
      </c>
      <c r="I360" s="2">
        <v>252</v>
      </c>
      <c r="J360" s="2">
        <v>163.21</v>
      </c>
      <c r="K360" s="2">
        <v>88.79</v>
      </c>
      <c r="L360" t="s">
        <v>35</v>
      </c>
    </row>
    <row r="361" spans="1:12" x14ac:dyDescent="0.35">
      <c r="A361" t="s">
        <v>602</v>
      </c>
      <c r="B361">
        <v>45606</v>
      </c>
      <c r="C361" t="s">
        <v>603</v>
      </c>
      <c r="D361" t="s">
        <v>42</v>
      </c>
      <c r="E361" t="s">
        <v>15</v>
      </c>
      <c r="F361" t="s">
        <v>16</v>
      </c>
      <c r="G361">
        <v>3</v>
      </c>
      <c r="H361" s="2">
        <v>69</v>
      </c>
      <c r="I361" s="2">
        <v>207</v>
      </c>
      <c r="J361" s="2">
        <v>120.17</v>
      </c>
      <c r="K361" s="2">
        <v>86.83</v>
      </c>
      <c r="L361" t="s">
        <v>21</v>
      </c>
    </row>
    <row r="362" spans="1:12" x14ac:dyDescent="0.35">
      <c r="A362" t="s">
        <v>604</v>
      </c>
      <c r="B362">
        <v>45369</v>
      </c>
      <c r="C362" t="s">
        <v>87</v>
      </c>
      <c r="D362" t="s">
        <v>24</v>
      </c>
      <c r="E362" t="s">
        <v>33</v>
      </c>
      <c r="F362" t="s">
        <v>55</v>
      </c>
      <c r="G362">
        <v>4</v>
      </c>
      <c r="H362" s="2">
        <v>43</v>
      </c>
      <c r="I362" s="2">
        <v>172</v>
      </c>
      <c r="J362" s="2">
        <v>100.01</v>
      </c>
      <c r="K362" s="2">
        <v>71.989999999999995</v>
      </c>
      <c r="L362" t="s">
        <v>35</v>
      </c>
    </row>
    <row r="363" spans="1:12" x14ac:dyDescent="0.35">
      <c r="A363" t="s">
        <v>605</v>
      </c>
      <c r="B363">
        <v>45474</v>
      </c>
      <c r="C363" t="s">
        <v>440</v>
      </c>
      <c r="D363" t="s">
        <v>28</v>
      </c>
      <c r="E363" t="s">
        <v>38</v>
      </c>
      <c r="F363" t="s">
        <v>39</v>
      </c>
      <c r="G363">
        <v>2</v>
      </c>
      <c r="H363" s="2">
        <v>20</v>
      </c>
      <c r="I363" s="2">
        <v>40</v>
      </c>
      <c r="J363" s="2">
        <v>29.4</v>
      </c>
      <c r="K363" s="2">
        <v>10.6</v>
      </c>
      <c r="L363" t="s">
        <v>35</v>
      </c>
    </row>
    <row r="364" spans="1:12" x14ac:dyDescent="0.35">
      <c r="A364" t="s">
        <v>606</v>
      </c>
      <c r="B364">
        <v>45644</v>
      </c>
      <c r="C364" t="s">
        <v>378</v>
      </c>
      <c r="D364" t="s">
        <v>14</v>
      </c>
      <c r="E364" t="s">
        <v>15</v>
      </c>
      <c r="F364" t="s">
        <v>20</v>
      </c>
      <c r="G364">
        <v>4</v>
      </c>
      <c r="H364" s="2">
        <v>27</v>
      </c>
      <c r="I364" s="2">
        <v>108</v>
      </c>
      <c r="J364" s="2">
        <v>55.63</v>
      </c>
      <c r="K364" s="2">
        <v>52.37</v>
      </c>
      <c r="L364" t="s">
        <v>17</v>
      </c>
    </row>
    <row r="365" spans="1:12" x14ac:dyDescent="0.35">
      <c r="A365" t="s">
        <v>607</v>
      </c>
      <c r="B365">
        <v>45334</v>
      </c>
      <c r="C365" t="s">
        <v>196</v>
      </c>
      <c r="D365" t="s">
        <v>28</v>
      </c>
      <c r="E365" t="s">
        <v>33</v>
      </c>
      <c r="F365" t="s">
        <v>34</v>
      </c>
      <c r="G365">
        <v>4</v>
      </c>
      <c r="H365" s="2">
        <v>34</v>
      </c>
      <c r="I365" s="2">
        <v>136</v>
      </c>
      <c r="J365" s="2">
        <v>93.5</v>
      </c>
      <c r="K365" s="2">
        <v>42.5</v>
      </c>
      <c r="L365" t="s">
        <v>21</v>
      </c>
    </row>
    <row r="366" spans="1:12" x14ac:dyDescent="0.35">
      <c r="A366" t="s">
        <v>608</v>
      </c>
      <c r="B366">
        <v>45466</v>
      </c>
      <c r="C366" t="s">
        <v>391</v>
      </c>
      <c r="D366" t="s">
        <v>14</v>
      </c>
      <c r="E366" t="s">
        <v>15</v>
      </c>
      <c r="F366" t="s">
        <v>25</v>
      </c>
      <c r="G366">
        <v>1</v>
      </c>
      <c r="H366" s="2">
        <v>19</v>
      </c>
      <c r="I366" s="2">
        <v>19</v>
      </c>
      <c r="J366" s="2">
        <v>10.83</v>
      </c>
      <c r="K366" s="2">
        <v>8.17</v>
      </c>
      <c r="L366" t="s">
        <v>44</v>
      </c>
    </row>
    <row r="367" spans="1:12" x14ac:dyDescent="0.35">
      <c r="A367" t="s">
        <v>609</v>
      </c>
      <c r="B367">
        <v>45304</v>
      </c>
      <c r="C367" t="s">
        <v>282</v>
      </c>
      <c r="D367" t="s">
        <v>24</v>
      </c>
      <c r="E367" t="s">
        <v>38</v>
      </c>
      <c r="F367" t="s">
        <v>39</v>
      </c>
      <c r="G367">
        <v>2</v>
      </c>
      <c r="H367" s="2">
        <v>94</v>
      </c>
      <c r="I367" s="2">
        <v>188</v>
      </c>
      <c r="J367" s="2">
        <v>144.37</v>
      </c>
      <c r="K367" s="2">
        <v>43.63</v>
      </c>
      <c r="L367" t="s">
        <v>17</v>
      </c>
    </row>
    <row r="368" spans="1:12" x14ac:dyDescent="0.35">
      <c r="A368" t="s">
        <v>610</v>
      </c>
      <c r="B368">
        <v>45508</v>
      </c>
      <c r="C368" t="s">
        <v>354</v>
      </c>
      <c r="D368" t="s">
        <v>28</v>
      </c>
      <c r="E368" t="s">
        <v>15</v>
      </c>
      <c r="F368" t="s">
        <v>20</v>
      </c>
      <c r="G368">
        <v>4</v>
      </c>
      <c r="H368" s="2">
        <v>66</v>
      </c>
      <c r="I368" s="2">
        <v>264</v>
      </c>
      <c r="J368" s="2">
        <v>209.19</v>
      </c>
      <c r="K368" s="2">
        <v>54.81</v>
      </c>
      <c r="L368" t="s">
        <v>44</v>
      </c>
    </row>
    <row r="369" spans="1:12" x14ac:dyDescent="0.35">
      <c r="A369" t="s">
        <v>611</v>
      </c>
      <c r="B369">
        <v>45335</v>
      </c>
      <c r="C369" t="s">
        <v>161</v>
      </c>
      <c r="D369" t="s">
        <v>24</v>
      </c>
      <c r="E369" t="s">
        <v>38</v>
      </c>
      <c r="F369" t="s">
        <v>58</v>
      </c>
      <c r="G369">
        <v>4</v>
      </c>
      <c r="H369" s="2">
        <v>37</v>
      </c>
      <c r="I369" s="2">
        <v>148</v>
      </c>
      <c r="J369" s="2">
        <v>74.44</v>
      </c>
      <c r="K369" s="2">
        <v>73.56</v>
      </c>
      <c r="L369" t="s">
        <v>21</v>
      </c>
    </row>
    <row r="370" spans="1:12" x14ac:dyDescent="0.35">
      <c r="A370" t="s">
        <v>612</v>
      </c>
      <c r="B370">
        <v>45359</v>
      </c>
      <c r="C370" t="s">
        <v>99</v>
      </c>
      <c r="D370" t="s">
        <v>14</v>
      </c>
      <c r="E370" t="s">
        <v>15</v>
      </c>
      <c r="F370" t="s">
        <v>20</v>
      </c>
      <c r="G370">
        <v>1</v>
      </c>
      <c r="H370" s="2">
        <v>35</v>
      </c>
      <c r="I370" s="2">
        <v>35</v>
      </c>
      <c r="J370" s="2">
        <v>19.14</v>
      </c>
      <c r="K370" s="2">
        <v>15.86</v>
      </c>
      <c r="L370" t="s">
        <v>17</v>
      </c>
    </row>
    <row r="371" spans="1:12" x14ac:dyDescent="0.35">
      <c r="A371" t="s">
        <v>613</v>
      </c>
      <c r="B371">
        <v>45343</v>
      </c>
      <c r="C371" t="s">
        <v>83</v>
      </c>
      <c r="D371" t="s">
        <v>28</v>
      </c>
      <c r="E371" t="s">
        <v>15</v>
      </c>
      <c r="F371" t="s">
        <v>20</v>
      </c>
      <c r="G371">
        <v>5</v>
      </c>
      <c r="H371" s="2">
        <v>51</v>
      </c>
      <c r="I371" s="2">
        <v>255</v>
      </c>
      <c r="J371" s="2">
        <v>141.87</v>
      </c>
      <c r="K371" s="2">
        <v>113.13</v>
      </c>
      <c r="L371" t="s">
        <v>35</v>
      </c>
    </row>
    <row r="372" spans="1:12" x14ac:dyDescent="0.35">
      <c r="A372" t="s">
        <v>614</v>
      </c>
      <c r="B372">
        <v>45295</v>
      </c>
      <c r="C372" t="s">
        <v>615</v>
      </c>
      <c r="D372" t="s">
        <v>14</v>
      </c>
      <c r="E372" t="s">
        <v>29</v>
      </c>
      <c r="F372" t="s">
        <v>30</v>
      </c>
      <c r="G372">
        <v>5</v>
      </c>
      <c r="H372" s="2">
        <v>27</v>
      </c>
      <c r="I372" s="2">
        <v>135</v>
      </c>
      <c r="J372" s="2">
        <v>107.2</v>
      </c>
      <c r="K372" s="2">
        <v>27.8</v>
      </c>
      <c r="L372" t="s">
        <v>35</v>
      </c>
    </row>
    <row r="373" spans="1:12" x14ac:dyDescent="0.35">
      <c r="A373" t="s">
        <v>616</v>
      </c>
      <c r="B373">
        <v>45613</v>
      </c>
      <c r="C373" t="s">
        <v>32</v>
      </c>
      <c r="D373" t="s">
        <v>42</v>
      </c>
      <c r="E373" t="s">
        <v>29</v>
      </c>
      <c r="F373" t="s">
        <v>43</v>
      </c>
      <c r="G373">
        <v>3</v>
      </c>
      <c r="H373" s="2">
        <v>12</v>
      </c>
      <c r="I373" s="2">
        <v>36</v>
      </c>
      <c r="J373" s="2">
        <v>20.34</v>
      </c>
      <c r="K373" s="2">
        <v>15.66</v>
      </c>
      <c r="L373" t="s">
        <v>21</v>
      </c>
    </row>
    <row r="374" spans="1:12" x14ac:dyDescent="0.35">
      <c r="A374" t="s">
        <v>617</v>
      </c>
      <c r="B374">
        <v>45367</v>
      </c>
      <c r="C374" t="s">
        <v>618</v>
      </c>
      <c r="D374" t="s">
        <v>42</v>
      </c>
      <c r="E374" t="s">
        <v>38</v>
      </c>
      <c r="F374" t="s">
        <v>52</v>
      </c>
      <c r="G374">
        <v>2</v>
      </c>
      <c r="H374" s="2">
        <v>88</v>
      </c>
      <c r="I374" s="2">
        <v>176</v>
      </c>
      <c r="J374" s="2">
        <v>109.78</v>
      </c>
      <c r="K374" s="2">
        <v>66.22</v>
      </c>
      <c r="L374" t="s">
        <v>44</v>
      </c>
    </row>
    <row r="375" spans="1:12" x14ac:dyDescent="0.35">
      <c r="A375" t="s">
        <v>619</v>
      </c>
      <c r="B375">
        <v>45357</v>
      </c>
      <c r="C375" t="s">
        <v>70</v>
      </c>
      <c r="D375" t="s">
        <v>28</v>
      </c>
      <c r="E375" t="s">
        <v>29</v>
      </c>
      <c r="F375" t="s">
        <v>30</v>
      </c>
      <c r="G375">
        <v>4</v>
      </c>
      <c r="H375" s="2">
        <v>49</v>
      </c>
      <c r="I375" s="2">
        <v>196</v>
      </c>
      <c r="J375" s="2">
        <v>126.22</v>
      </c>
      <c r="K375" s="2">
        <v>69.78</v>
      </c>
      <c r="L375" t="s">
        <v>44</v>
      </c>
    </row>
    <row r="376" spans="1:12" x14ac:dyDescent="0.35">
      <c r="A376" t="s">
        <v>620</v>
      </c>
      <c r="B376">
        <v>45355</v>
      </c>
      <c r="C376" t="s">
        <v>621</v>
      </c>
      <c r="D376" t="s">
        <v>24</v>
      </c>
      <c r="E376" t="s">
        <v>33</v>
      </c>
      <c r="F376" t="s">
        <v>92</v>
      </c>
      <c r="G376">
        <v>2</v>
      </c>
      <c r="H376" s="2">
        <v>16</v>
      </c>
      <c r="I376" s="2">
        <v>32</v>
      </c>
      <c r="J376" s="2">
        <v>17.920000000000002</v>
      </c>
      <c r="K376" s="2">
        <v>14.08</v>
      </c>
      <c r="L376" t="s">
        <v>35</v>
      </c>
    </row>
    <row r="377" spans="1:12" x14ac:dyDescent="0.35">
      <c r="A377" t="s">
        <v>622</v>
      </c>
      <c r="B377">
        <v>45372</v>
      </c>
      <c r="C377" t="s">
        <v>404</v>
      </c>
      <c r="D377" t="s">
        <v>24</v>
      </c>
      <c r="E377" t="s">
        <v>38</v>
      </c>
      <c r="F377" t="s">
        <v>39</v>
      </c>
      <c r="G377">
        <v>2</v>
      </c>
      <c r="H377" s="2">
        <v>20</v>
      </c>
      <c r="I377" s="2">
        <v>40</v>
      </c>
      <c r="J377" s="2">
        <v>28.73</v>
      </c>
      <c r="K377" s="2">
        <v>11.27</v>
      </c>
      <c r="L377" t="s">
        <v>35</v>
      </c>
    </row>
    <row r="378" spans="1:12" x14ac:dyDescent="0.35">
      <c r="A378" t="s">
        <v>623</v>
      </c>
      <c r="B378">
        <v>45614</v>
      </c>
      <c r="C378" t="s">
        <v>426</v>
      </c>
      <c r="D378" t="s">
        <v>42</v>
      </c>
      <c r="E378" t="s">
        <v>33</v>
      </c>
      <c r="F378" t="s">
        <v>92</v>
      </c>
      <c r="G378">
        <v>3</v>
      </c>
      <c r="H378" s="2">
        <v>20</v>
      </c>
      <c r="I378" s="2">
        <v>60</v>
      </c>
      <c r="J378" s="2">
        <v>33.33</v>
      </c>
      <c r="K378" s="2">
        <v>26.67</v>
      </c>
      <c r="L378" t="s">
        <v>17</v>
      </c>
    </row>
    <row r="379" spans="1:12" x14ac:dyDescent="0.35">
      <c r="A379" t="s">
        <v>624</v>
      </c>
      <c r="B379">
        <v>45327</v>
      </c>
      <c r="C379" t="s">
        <v>625</v>
      </c>
      <c r="D379" t="s">
        <v>14</v>
      </c>
      <c r="E379" t="s">
        <v>15</v>
      </c>
      <c r="F379" t="s">
        <v>20</v>
      </c>
      <c r="G379">
        <v>4</v>
      </c>
      <c r="H379" s="2">
        <v>61</v>
      </c>
      <c r="I379" s="2">
        <v>244</v>
      </c>
      <c r="J379" s="2">
        <v>174.33</v>
      </c>
      <c r="K379" s="2">
        <v>69.67</v>
      </c>
      <c r="L379" t="s">
        <v>44</v>
      </c>
    </row>
    <row r="380" spans="1:12" x14ac:dyDescent="0.35">
      <c r="A380" t="s">
        <v>626</v>
      </c>
      <c r="B380">
        <v>45299</v>
      </c>
      <c r="C380" t="s">
        <v>270</v>
      </c>
      <c r="D380" t="s">
        <v>42</v>
      </c>
      <c r="E380" t="s">
        <v>33</v>
      </c>
      <c r="F380" t="s">
        <v>34</v>
      </c>
      <c r="G380">
        <v>4</v>
      </c>
      <c r="H380" s="2">
        <v>65</v>
      </c>
      <c r="I380" s="2">
        <v>260</v>
      </c>
      <c r="J380" s="2">
        <v>183.36</v>
      </c>
      <c r="K380" s="2">
        <v>76.64</v>
      </c>
      <c r="L380" t="s">
        <v>44</v>
      </c>
    </row>
    <row r="381" spans="1:12" x14ac:dyDescent="0.35">
      <c r="A381" t="s">
        <v>627</v>
      </c>
      <c r="B381">
        <v>45340</v>
      </c>
      <c r="C381" t="s">
        <v>328</v>
      </c>
      <c r="D381" t="s">
        <v>14</v>
      </c>
      <c r="E381" t="s">
        <v>38</v>
      </c>
      <c r="F381" t="s">
        <v>39</v>
      </c>
      <c r="G381">
        <v>4</v>
      </c>
      <c r="H381" s="2">
        <v>63</v>
      </c>
      <c r="I381" s="2">
        <v>252</v>
      </c>
      <c r="J381" s="2">
        <v>161.63</v>
      </c>
      <c r="K381" s="2">
        <v>90.37</v>
      </c>
      <c r="L381" t="s">
        <v>17</v>
      </c>
    </row>
    <row r="382" spans="1:12" x14ac:dyDescent="0.35">
      <c r="A382" t="s">
        <v>628</v>
      </c>
      <c r="B382">
        <v>45644</v>
      </c>
      <c r="C382" t="s">
        <v>134</v>
      </c>
      <c r="D382" t="s">
        <v>42</v>
      </c>
      <c r="E382" t="s">
        <v>38</v>
      </c>
      <c r="F382" t="s">
        <v>39</v>
      </c>
      <c r="G382">
        <v>4</v>
      </c>
      <c r="H382" s="2">
        <v>88</v>
      </c>
      <c r="I382" s="2">
        <v>352</v>
      </c>
      <c r="J382" s="2">
        <v>201.54</v>
      </c>
      <c r="K382" s="2">
        <v>150.46</v>
      </c>
      <c r="L382" t="s">
        <v>44</v>
      </c>
    </row>
    <row r="383" spans="1:12" x14ac:dyDescent="0.35">
      <c r="A383" t="s">
        <v>629</v>
      </c>
      <c r="B383">
        <v>45652</v>
      </c>
      <c r="C383" t="s">
        <v>136</v>
      </c>
      <c r="D383" t="s">
        <v>24</v>
      </c>
      <c r="E383" t="s">
        <v>15</v>
      </c>
      <c r="F383" t="s">
        <v>20</v>
      </c>
      <c r="G383">
        <v>5</v>
      </c>
      <c r="H383" s="2">
        <v>75</v>
      </c>
      <c r="I383" s="2">
        <v>375</v>
      </c>
      <c r="J383" s="2">
        <v>280.98</v>
      </c>
      <c r="K383" s="2">
        <v>94.02</v>
      </c>
      <c r="L383" t="s">
        <v>21</v>
      </c>
    </row>
    <row r="384" spans="1:12" x14ac:dyDescent="0.35">
      <c r="A384" t="s">
        <v>630</v>
      </c>
      <c r="B384">
        <v>45434</v>
      </c>
      <c r="C384" t="s">
        <v>241</v>
      </c>
      <c r="D384" t="s">
        <v>28</v>
      </c>
      <c r="E384" t="s">
        <v>29</v>
      </c>
      <c r="F384" t="s">
        <v>43</v>
      </c>
      <c r="G384">
        <v>3</v>
      </c>
      <c r="H384" s="2">
        <v>92</v>
      </c>
      <c r="I384" s="2">
        <v>276</v>
      </c>
      <c r="J384" s="2">
        <v>170.25</v>
      </c>
      <c r="K384" s="2">
        <v>105.75</v>
      </c>
      <c r="L384" t="s">
        <v>17</v>
      </c>
    </row>
    <row r="385" spans="1:12" x14ac:dyDescent="0.35">
      <c r="A385" t="s">
        <v>631</v>
      </c>
      <c r="B385">
        <v>45393</v>
      </c>
      <c r="C385" t="s">
        <v>209</v>
      </c>
      <c r="D385" t="s">
        <v>28</v>
      </c>
      <c r="E385" t="s">
        <v>29</v>
      </c>
      <c r="F385" t="s">
        <v>47</v>
      </c>
      <c r="G385">
        <v>3</v>
      </c>
      <c r="H385" s="2">
        <v>23</v>
      </c>
      <c r="I385" s="2">
        <v>69</v>
      </c>
      <c r="J385" s="2">
        <v>44.72</v>
      </c>
      <c r="K385" s="2">
        <v>24.28</v>
      </c>
      <c r="L385" t="s">
        <v>35</v>
      </c>
    </row>
    <row r="386" spans="1:12" x14ac:dyDescent="0.35">
      <c r="A386" t="s">
        <v>632</v>
      </c>
      <c r="B386">
        <v>45656</v>
      </c>
      <c r="C386" t="s">
        <v>633</v>
      </c>
      <c r="D386" t="s">
        <v>42</v>
      </c>
      <c r="E386" t="s">
        <v>33</v>
      </c>
      <c r="F386" t="s">
        <v>92</v>
      </c>
      <c r="G386">
        <v>1</v>
      </c>
      <c r="H386" s="2">
        <v>83</v>
      </c>
      <c r="I386" s="2">
        <v>83</v>
      </c>
      <c r="J386" s="2">
        <v>49</v>
      </c>
      <c r="K386" s="2">
        <v>34</v>
      </c>
      <c r="L386" t="s">
        <v>44</v>
      </c>
    </row>
    <row r="387" spans="1:12" x14ac:dyDescent="0.35">
      <c r="A387" t="s">
        <v>634</v>
      </c>
      <c r="B387">
        <v>45398</v>
      </c>
      <c r="C387" t="s">
        <v>548</v>
      </c>
      <c r="D387" t="s">
        <v>24</v>
      </c>
      <c r="E387" t="s">
        <v>29</v>
      </c>
      <c r="F387" t="s">
        <v>75</v>
      </c>
      <c r="G387">
        <v>5</v>
      </c>
      <c r="H387" s="2">
        <v>39</v>
      </c>
      <c r="I387" s="2">
        <v>195</v>
      </c>
      <c r="J387" s="2">
        <v>146.93</v>
      </c>
      <c r="K387" s="2">
        <v>48.07</v>
      </c>
      <c r="L387" t="s">
        <v>21</v>
      </c>
    </row>
    <row r="388" spans="1:12" x14ac:dyDescent="0.35">
      <c r="A388" t="s">
        <v>635</v>
      </c>
      <c r="B388">
        <v>45529</v>
      </c>
      <c r="C388" t="s">
        <v>636</v>
      </c>
      <c r="D388" t="s">
        <v>42</v>
      </c>
      <c r="E388" t="s">
        <v>33</v>
      </c>
      <c r="F388" t="s">
        <v>34</v>
      </c>
      <c r="G388">
        <v>1</v>
      </c>
      <c r="H388" s="2">
        <v>44</v>
      </c>
      <c r="I388" s="2">
        <v>44</v>
      </c>
      <c r="J388" s="2">
        <v>31.54</v>
      </c>
      <c r="K388" s="2">
        <v>12.46</v>
      </c>
      <c r="L388" t="s">
        <v>35</v>
      </c>
    </row>
    <row r="389" spans="1:12" x14ac:dyDescent="0.35">
      <c r="A389" t="s">
        <v>637</v>
      </c>
      <c r="B389">
        <v>45513</v>
      </c>
      <c r="C389" t="s">
        <v>638</v>
      </c>
      <c r="D389" t="s">
        <v>28</v>
      </c>
      <c r="E389" t="s">
        <v>15</v>
      </c>
      <c r="F389" t="s">
        <v>16</v>
      </c>
      <c r="G389">
        <v>4</v>
      </c>
      <c r="H389" s="2">
        <v>82</v>
      </c>
      <c r="I389" s="2">
        <v>328</v>
      </c>
      <c r="J389" s="2">
        <v>221.48</v>
      </c>
      <c r="K389" s="2">
        <v>106.52</v>
      </c>
      <c r="L389" t="s">
        <v>17</v>
      </c>
    </row>
    <row r="390" spans="1:12" x14ac:dyDescent="0.35">
      <c r="A390" t="s">
        <v>639</v>
      </c>
      <c r="B390">
        <v>45358</v>
      </c>
      <c r="C390" t="s">
        <v>293</v>
      </c>
      <c r="D390" t="s">
        <v>42</v>
      </c>
      <c r="E390" t="s">
        <v>33</v>
      </c>
      <c r="F390" t="s">
        <v>92</v>
      </c>
      <c r="G390">
        <v>2</v>
      </c>
      <c r="H390" s="2">
        <v>71</v>
      </c>
      <c r="I390" s="2">
        <v>142</v>
      </c>
      <c r="J390" s="2">
        <v>95.54</v>
      </c>
      <c r="K390" s="2">
        <v>46.46</v>
      </c>
      <c r="L390" t="s">
        <v>44</v>
      </c>
    </row>
    <row r="391" spans="1:12" x14ac:dyDescent="0.35">
      <c r="A391" t="s">
        <v>640</v>
      </c>
      <c r="B391">
        <v>45300</v>
      </c>
      <c r="C391" t="s">
        <v>641</v>
      </c>
      <c r="D391" t="s">
        <v>28</v>
      </c>
      <c r="E391" t="s">
        <v>38</v>
      </c>
      <c r="F391" t="s">
        <v>58</v>
      </c>
      <c r="G391">
        <v>5</v>
      </c>
      <c r="H391" s="2">
        <v>45</v>
      </c>
      <c r="I391" s="2">
        <v>225</v>
      </c>
      <c r="J391" s="2">
        <v>175.43</v>
      </c>
      <c r="K391" s="2">
        <v>49.57</v>
      </c>
      <c r="L391" t="s">
        <v>44</v>
      </c>
    </row>
    <row r="392" spans="1:12" x14ac:dyDescent="0.35">
      <c r="A392" t="s">
        <v>642</v>
      </c>
      <c r="B392">
        <v>45540</v>
      </c>
      <c r="C392" t="s">
        <v>643</v>
      </c>
      <c r="D392" t="s">
        <v>42</v>
      </c>
      <c r="E392" t="s">
        <v>38</v>
      </c>
      <c r="F392" t="s">
        <v>39</v>
      </c>
      <c r="G392">
        <v>2</v>
      </c>
      <c r="H392" s="2">
        <v>94</v>
      </c>
      <c r="I392" s="2">
        <v>188</v>
      </c>
      <c r="J392" s="2">
        <v>119.29</v>
      </c>
      <c r="K392" s="2">
        <v>68.709999999999994</v>
      </c>
      <c r="L392" t="s">
        <v>21</v>
      </c>
    </row>
    <row r="393" spans="1:12" x14ac:dyDescent="0.35">
      <c r="A393" t="s">
        <v>644</v>
      </c>
      <c r="B393">
        <v>45432</v>
      </c>
      <c r="C393" t="s">
        <v>77</v>
      </c>
      <c r="D393" t="s">
        <v>24</v>
      </c>
      <c r="E393" t="s">
        <v>33</v>
      </c>
      <c r="F393" t="s">
        <v>34</v>
      </c>
      <c r="G393">
        <v>5</v>
      </c>
      <c r="H393" s="2">
        <v>66</v>
      </c>
      <c r="I393" s="2">
        <v>330</v>
      </c>
      <c r="J393" s="2">
        <v>165.95</v>
      </c>
      <c r="K393" s="2">
        <v>164.05</v>
      </c>
      <c r="L393" t="s">
        <v>17</v>
      </c>
    </row>
    <row r="394" spans="1:12" x14ac:dyDescent="0.35">
      <c r="A394" t="s">
        <v>645</v>
      </c>
      <c r="B394">
        <v>45331</v>
      </c>
      <c r="C394" t="s">
        <v>97</v>
      </c>
      <c r="D394" t="s">
        <v>14</v>
      </c>
      <c r="E394" t="s">
        <v>29</v>
      </c>
      <c r="F394" t="s">
        <v>47</v>
      </c>
      <c r="G394">
        <v>2</v>
      </c>
      <c r="H394" s="2">
        <v>67</v>
      </c>
      <c r="I394" s="2">
        <v>134</v>
      </c>
      <c r="J394" s="2">
        <v>90.28</v>
      </c>
      <c r="K394" s="2">
        <v>43.72</v>
      </c>
      <c r="L394" t="s">
        <v>21</v>
      </c>
    </row>
    <row r="395" spans="1:12" x14ac:dyDescent="0.35">
      <c r="A395" t="s">
        <v>646</v>
      </c>
      <c r="B395">
        <v>45655</v>
      </c>
      <c r="C395" t="s">
        <v>647</v>
      </c>
      <c r="D395" t="s">
        <v>14</v>
      </c>
      <c r="E395" t="s">
        <v>38</v>
      </c>
      <c r="F395" t="s">
        <v>58</v>
      </c>
      <c r="G395">
        <v>1</v>
      </c>
      <c r="H395" s="2">
        <v>61</v>
      </c>
      <c r="I395" s="2">
        <v>61</v>
      </c>
      <c r="J395" s="2">
        <v>47.68</v>
      </c>
      <c r="K395" s="2">
        <v>13.32</v>
      </c>
      <c r="L395" t="s">
        <v>35</v>
      </c>
    </row>
    <row r="396" spans="1:12" x14ac:dyDescent="0.35">
      <c r="A396" t="s">
        <v>648</v>
      </c>
      <c r="B396">
        <v>45398</v>
      </c>
      <c r="C396" t="s">
        <v>649</v>
      </c>
      <c r="D396" t="s">
        <v>42</v>
      </c>
      <c r="E396" t="s">
        <v>38</v>
      </c>
      <c r="F396" t="s">
        <v>52</v>
      </c>
      <c r="G396">
        <v>3</v>
      </c>
      <c r="H396" s="2">
        <v>57</v>
      </c>
      <c r="I396" s="2">
        <v>171</v>
      </c>
      <c r="J396" s="2">
        <v>106.83</v>
      </c>
      <c r="K396" s="2">
        <v>64.17</v>
      </c>
      <c r="L396" t="s">
        <v>17</v>
      </c>
    </row>
    <row r="397" spans="1:12" x14ac:dyDescent="0.35">
      <c r="A397" t="s">
        <v>650</v>
      </c>
      <c r="B397">
        <v>45363</v>
      </c>
      <c r="C397" t="s">
        <v>342</v>
      </c>
      <c r="D397" t="s">
        <v>42</v>
      </c>
      <c r="E397" t="s">
        <v>29</v>
      </c>
      <c r="F397" t="s">
        <v>30</v>
      </c>
      <c r="G397">
        <v>2</v>
      </c>
      <c r="H397" s="2">
        <v>76</v>
      </c>
      <c r="I397" s="2">
        <v>152</v>
      </c>
      <c r="J397" s="2">
        <v>88.34</v>
      </c>
      <c r="K397" s="2">
        <v>63.66</v>
      </c>
      <c r="L397" t="s">
        <v>17</v>
      </c>
    </row>
    <row r="398" spans="1:12" x14ac:dyDescent="0.35">
      <c r="A398" t="s">
        <v>651</v>
      </c>
      <c r="B398">
        <v>45599</v>
      </c>
      <c r="C398" t="s">
        <v>478</v>
      </c>
      <c r="D398" t="s">
        <v>28</v>
      </c>
      <c r="E398" t="s">
        <v>33</v>
      </c>
      <c r="F398" t="s">
        <v>55</v>
      </c>
      <c r="G398">
        <v>1</v>
      </c>
      <c r="H398" s="2">
        <v>52</v>
      </c>
      <c r="I398" s="2">
        <v>52</v>
      </c>
      <c r="J398" s="2">
        <v>26.72</v>
      </c>
      <c r="K398" s="2">
        <v>25.28</v>
      </c>
      <c r="L398" t="s">
        <v>35</v>
      </c>
    </row>
    <row r="399" spans="1:12" x14ac:dyDescent="0.35">
      <c r="A399" t="s">
        <v>652</v>
      </c>
      <c r="B399">
        <v>45390</v>
      </c>
      <c r="C399" t="s">
        <v>266</v>
      </c>
      <c r="D399" t="s">
        <v>28</v>
      </c>
      <c r="E399" t="s">
        <v>38</v>
      </c>
      <c r="F399" t="s">
        <v>52</v>
      </c>
      <c r="G399">
        <v>2</v>
      </c>
      <c r="H399" s="2">
        <v>66</v>
      </c>
      <c r="I399" s="2">
        <v>132</v>
      </c>
      <c r="J399" s="2">
        <v>91.49</v>
      </c>
      <c r="K399" s="2">
        <v>40.51</v>
      </c>
      <c r="L399" t="s">
        <v>17</v>
      </c>
    </row>
    <row r="400" spans="1:12" x14ac:dyDescent="0.35">
      <c r="A400" t="s">
        <v>653</v>
      </c>
      <c r="B400">
        <v>45490</v>
      </c>
      <c r="C400" t="s">
        <v>590</v>
      </c>
      <c r="D400" t="s">
        <v>28</v>
      </c>
      <c r="E400" t="s">
        <v>38</v>
      </c>
      <c r="F400" t="s">
        <v>52</v>
      </c>
      <c r="G400">
        <v>2</v>
      </c>
      <c r="H400" s="2">
        <v>13</v>
      </c>
      <c r="I400" s="2">
        <v>26</v>
      </c>
      <c r="J400" s="2">
        <v>17.82</v>
      </c>
      <c r="K400" s="2">
        <v>8.18</v>
      </c>
      <c r="L400" t="s">
        <v>21</v>
      </c>
    </row>
    <row r="401" spans="1:12" x14ac:dyDescent="0.35">
      <c r="A401" t="s">
        <v>654</v>
      </c>
      <c r="B401">
        <v>45526</v>
      </c>
      <c r="C401" t="s">
        <v>578</v>
      </c>
      <c r="D401" t="s">
        <v>28</v>
      </c>
      <c r="E401" t="s">
        <v>29</v>
      </c>
      <c r="F401" t="s">
        <v>43</v>
      </c>
      <c r="G401">
        <v>3</v>
      </c>
      <c r="H401" s="2">
        <v>92</v>
      </c>
      <c r="I401" s="2">
        <v>276</v>
      </c>
      <c r="J401" s="2">
        <v>203.58</v>
      </c>
      <c r="K401" s="2">
        <v>72.42</v>
      </c>
      <c r="L401" t="s">
        <v>21</v>
      </c>
    </row>
    <row r="402" spans="1:12" x14ac:dyDescent="0.35">
      <c r="A402" t="s">
        <v>655</v>
      </c>
      <c r="B402">
        <v>45488</v>
      </c>
      <c r="C402" t="s">
        <v>426</v>
      </c>
      <c r="D402" t="s">
        <v>24</v>
      </c>
      <c r="E402" t="s">
        <v>33</v>
      </c>
      <c r="F402" t="s">
        <v>92</v>
      </c>
      <c r="G402">
        <v>3</v>
      </c>
      <c r="H402" s="2">
        <v>81</v>
      </c>
      <c r="I402" s="2">
        <v>243</v>
      </c>
      <c r="J402" s="2">
        <v>149.25</v>
      </c>
      <c r="K402" s="2">
        <v>93.75</v>
      </c>
      <c r="L402" t="s">
        <v>44</v>
      </c>
    </row>
    <row r="403" spans="1:12" x14ac:dyDescent="0.35">
      <c r="A403" t="s">
        <v>656</v>
      </c>
      <c r="B403">
        <v>45388</v>
      </c>
      <c r="C403" t="s">
        <v>125</v>
      </c>
      <c r="D403" t="s">
        <v>28</v>
      </c>
      <c r="E403" t="s">
        <v>15</v>
      </c>
      <c r="F403" t="s">
        <v>16</v>
      </c>
      <c r="G403">
        <v>5</v>
      </c>
      <c r="H403" s="2">
        <v>16</v>
      </c>
      <c r="I403" s="2">
        <v>80</v>
      </c>
      <c r="J403" s="2">
        <v>42.96</v>
      </c>
      <c r="K403" s="2">
        <v>37.04</v>
      </c>
      <c r="L403" t="s">
        <v>35</v>
      </c>
    </row>
    <row r="404" spans="1:12" x14ac:dyDescent="0.35">
      <c r="A404" t="s">
        <v>657</v>
      </c>
      <c r="B404">
        <v>45388</v>
      </c>
      <c r="C404" t="s">
        <v>334</v>
      </c>
      <c r="D404" t="s">
        <v>28</v>
      </c>
      <c r="E404" t="s">
        <v>33</v>
      </c>
      <c r="F404" t="s">
        <v>92</v>
      </c>
      <c r="G404">
        <v>1</v>
      </c>
      <c r="H404" s="2">
        <v>13</v>
      </c>
      <c r="I404" s="2">
        <v>13</v>
      </c>
      <c r="J404" s="2">
        <v>6.97</v>
      </c>
      <c r="K404" s="2">
        <v>6.03</v>
      </c>
      <c r="L404" t="s">
        <v>21</v>
      </c>
    </row>
    <row r="405" spans="1:12" x14ac:dyDescent="0.35">
      <c r="A405" t="s">
        <v>658</v>
      </c>
      <c r="B405">
        <v>45470</v>
      </c>
      <c r="C405" t="s">
        <v>193</v>
      </c>
      <c r="D405" t="s">
        <v>42</v>
      </c>
      <c r="E405" t="s">
        <v>15</v>
      </c>
      <c r="F405" t="s">
        <v>25</v>
      </c>
      <c r="G405">
        <v>5</v>
      </c>
      <c r="H405" s="2">
        <v>37</v>
      </c>
      <c r="I405" s="2">
        <v>185</v>
      </c>
      <c r="J405" s="2">
        <v>137.97999999999999</v>
      </c>
      <c r="K405" s="2">
        <v>47.02</v>
      </c>
      <c r="L405" t="s">
        <v>21</v>
      </c>
    </row>
    <row r="406" spans="1:12" x14ac:dyDescent="0.35">
      <c r="A406" t="s">
        <v>659</v>
      </c>
      <c r="B406">
        <v>45584</v>
      </c>
      <c r="C406" t="s">
        <v>153</v>
      </c>
      <c r="D406" t="s">
        <v>42</v>
      </c>
      <c r="E406" t="s">
        <v>33</v>
      </c>
      <c r="F406" t="s">
        <v>34</v>
      </c>
      <c r="G406">
        <v>1</v>
      </c>
      <c r="H406" s="2">
        <v>37</v>
      </c>
      <c r="I406" s="2">
        <v>37</v>
      </c>
      <c r="J406" s="2">
        <v>21.12</v>
      </c>
      <c r="K406" s="2">
        <v>15.88</v>
      </c>
      <c r="L406" t="s">
        <v>44</v>
      </c>
    </row>
    <row r="407" spans="1:12" x14ac:dyDescent="0.35">
      <c r="A407" t="s">
        <v>660</v>
      </c>
      <c r="B407">
        <v>45479</v>
      </c>
      <c r="C407" t="s">
        <v>114</v>
      </c>
      <c r="D407" t="s">
        <v>28</v>
      </c>
      <c r="E407" t="s">
        <v>33</v>
      </c>
      <c r="F407" t="s">
        <v>34</v>
      </c>
      <c r="G407">
        <v>1</v>
      </c>
      <c r="H407" s="2">
        <v>80</v>
      </c>
      <c r="I407" s="2">
        <v>80</v>
      </c>
      <c r="J407" s="2">
        <v>41.26</v>
      </c>
      <c r="K407" s="2">
        <v>38.74</v>
      </c>
      <c r="L407" t="s">
        <v>35</v>
      </c>
    </row>
    <row r="408" spans="1:12" x14ac:dyDescent="0.35">
      <c r="A408" t="s">
        <v>661</v>
      </c>
      <c r="B408">
        <v>45517</v>
      </c>
      <c r="C408" t="s">
        <v>404</v>
      </c>
      <c r="D408" t="s">
        <v>14</v>
      </c>
      <c r="E408" t="s">
        <v>29</v>
      </c>
      <c r="F408" t="s">
        <v>43</v>
      </c>
      <c r="G408">
        <v>5</v>
      </c>
      <c r="H408" s="2">
        <v>54</v>
      </c>
      <c r="I408" s="2">
        <v>270</v>
      </c>
      <c r="J408" s="2">
        <v>168.96</v>
      </c>
      <c r="K408" s="2">
        <v>101.04</v>
      </c>
      <c r="L408" t="s">
        <v>44</v>
      </c>
    </row>
    <row r="409" spans="1:12" x14ac:dyDescent="0.35">
      <c r="A409" t="s">
        <v>662</v>
      </c>
      <c r="B409">
        <v>45593</v>
      </c>
      <c r="C409" t="s">
        <v>207</v>
      </c>
      <c r="D409" t="s">
        <v>24</v>
      </c>
      <c r="E409" t="s">
        <v>38</v>
      </c>
      <c r="F409" t="s">
        <v>58</v>
      </c>
      <c r="G409">
        <v>3</v>
      </c>
      <c r="H409" s="2">
        <v>59</v>
      </c>
      <c r="I409" s="2">
        <v>177</v>
      </c>
      <c r="J409" s="2">
        <v>98.79</v>
      </c>
      <c r="K409" s="2">
        <v>78.209999999999994</v>
      </c>
      <c r="L409" t="s">
        <v>21</v>
      </c>
    </row>
    <row r="410" spans="1:12" x14ac:dyDescent="0.35">
      <c r="A410" t="s">
        <v>663</v>
      </c>
      <c r="B410">
        <v>45406</v>
      </c>
      <c r="C410" t="s">
        <v>320</v>
      </c>
      <c r="D410" t="s">
        <v>24</v>
      </c>
      <c r="E410" t="s">
        <v>15</v>
      </c>
      <c r="F410" t="s">
        <v>25</v>
      </c>
      <c r="G410">
        <v>2</v>
      </c>
      <c r="H410" s="2">
        <v>97</v>
      </c>
      <c r="I410" s="2">
        <v>194</v>
      </c>
      <c r="J410" s="2">
        <v>120.92</v>
      </c>
      <c r="K410" s="2">
        <v>73.08</v>
      </c>
      <c r="L410" t="s">
        <v>17</v>
      </c>
    </row>
    <row r="411" spans="1:12" x14ac:dyDescent="0.35">
      <c r="A411" t="s">
        <v>664</v>
      </c>
      <c r="B411">
        <v>45631</v>
      </c>
      <c r="C411" t="s">
        <v>621</v>
      </c>
      <c r="D411" t="s">
        <v>24</v>
      </c>
      <c r="E411" t="s">
        <v>15</v>
      </c>
      <c r="F411" t="s">
        <v>16</v>
      </c>
      <c r="G411">
        <v>4</v>
      </c>
      <c r="H411" s="2">
        <v>96</v>
      </c>
      <c r="I411" s="2">
        <v>384</v>
      </c>
      <c r="J411" s="2">
        <v>241.02</v>
      </c>
      <c r="K411" s="2">
        <v>142.97999999999999</v>
      </c>
      <c r="L411" t="s">
        <v>35</v>
      </c>
    </row>
    <row r="412" spans="1:12" x14ac:dyDescent="0.35">
      <c r="A412" t="s">
        <v>665</v>
      </c>
      <c r="B412">
        <v>45576</v>
      </c>
      <c r="C412" t="s">
        <v>383</v>
      </c>
      <c r="D412" t="s">
        <v>24</v>
      </c>
      <c r="E412" t="s">
        <v>33</v>
      </c>
      <c r="F412" t="s">
        <v>92</v>
      </c>
      <c r="G412">
        <v>1</v>
      </c>
      <c r="H412" s="2">
        <v>65</v>
      </c>
      <c r="I412" s="2">
        <v>65</v>
      </c>
      <c r="J412" s="2">
        <v>48.02</v>
      </c>
      <c r="K412" s="2">
        <v>16.98</v>
      </c>
      <c r="L412" t="s">
        <v>44</v>
      </c>
    </row>
    <row r="413" spans="1:12" x14ac:dyDescent="0.35">
      <c r="A413" t="s">
        <v>666</v>
      </c>
      <c r="B413">
        <v>45651</v>
      </c>
      <c r="C413" t="s">
        <v>142</v>
      </c>
      <c r="D413" t="s">
        <v>42</v>
      </c>
      <c r="E413" t="s">
        <v>29</v>
      </c>
      <c r="F413" t="s">
        <v>30</v>
      </c>
      <c r="G413">
        <v>3</v>
      </c>
      <c r="H413" s="2">
        <v>39</v>
      </c>
      <c r="I413" s="2">
        <v>117</v>
      </c>
      <c r="J413" s="2">
        <v>88.6</v>
      </c>
      <c r="K413" s="2">
        <v>28.4</v>
      </c>
      <c r="L413" t="s">
        <v>35</v>
      </c>
    </row>
    <row r="414" spans="1:12" x14ac:dyDescent="0.35">
      <c r="A414" t="s">
        <v>667</v>
      </c>
      <c r="B414">
        <v>45520</v>
      </c>
      <c r="C414" t="s">
        <v>668</v>
      </c>
      <c r="D414" t="s">
        <v>24</v>
      </c>
      <c r="E414" t="s">
        <v>33</v>
      </c>
      <c r="F414" t="s">
        <v>92</v>
      </c>
      <c r="G414">
        <v>2</v>
      </c>
      <c r="H414" s="2">
        <v>91</v>
      </c>
      <c r="I414" s="2">
        <v>182</v>
      </c>
      <c r="J414" s="2">
        <v>93.57</v>
      </c>
      <c r="K414" s="2">
        <v>88.43</v>
      </c>
      <c r="L414" t="s">
        <v>17</v>
      </c>
    </row>
    <row r="415" spans="1:12" x14ac:dyDescent="0.35">
      <c r="A415" t="s">
        <v>669</v>
      </c>
      <c r="B415">
        <v>45541</v>
      </c>
      <c r="C415" t="s">
        <v>171</v>
      </c>
      <c r="D415" t="s">
        <v>28</v>
      </c>
      <c r="E415" t="s">
        <v>38</v>
      </c>
      <c r="F415" t="s">
        <v>58</v>
      </c>
      <c r="G415">
        <v>1</v>
      </c>
      <c r="H415" s="2">
        <v>24</v>
      </c>
      <c r="I415" s="2">
        <v>24</v>
      </c>
      <c r="J415" s="2">
        <v>13.96</v>
      </c>
      <c r="K415" s="2">
        <v>10.039999999999999</v>
      </c>
      <c r="L415" t="s">
        <v>17</v>
      </c>
    </row>
    <row r="416" spans="1:12" x14ac:dyDescent="0.35">
      <c r="A416" t="s">
        <v>670</v>
      </c>
      <c r="B416">
        <v>45293</v>
      </c>
      <c r="C416" t="s">
        <v>671</v>
      </c>
      <c r="D416" t="s">
        <v>28</v>
      </c>
      <c r="E416" t="s">
        <v>29</v>
      </c>
      <c r="F416" t="s">
        <v>47</v>
      </c>
      <c r="G416">
        <v>2</v>
      </c>
      <c r="H416" s="2">
        <v>73</v>
      </c>
      <c r="I416" s="2">
        <v>146</v>
      </c>
      <c r="J416" s="2">
        <v>80.13</v>
      </c>
      <c r="K416" s="2">
        <v>65.87</v>
      </c>
      <c r="L416" t="s">
        <v>17</v>
      </c>
    </row>
    <row r="417" spans="1:12" x14ac:dyDescent="0.35">
      <c r="A417" t="s">
        <v>672</v>
      </c>
      <c r="B417">
        <v>45342</v>
      </c>
      <c r="C417" t="s">
        <v>438</v>
      </c>
      <c r="D417" t="s">
        <v>24</v>
      </c>
      <c r="E417" t="s">
        <v>38</v>
      </c>
      <c r="F417" t="s">
        <v>58</v>
      </c>
      <c r="G417">
        <v>3</v>
      </c>
      <c r="H417" s="2">
        <v>20</v>
      </c>
      <c r="I417" s="2">
        <v>60</v>
      </c>
      <c r="J417" s="2">
        <v>42.92</v>
      </c>
      <c r="K417" s="2">
        <v>17.079999999999998</v>
      </c>
      <c r="L417" t="s">
        <v>17</v>
      </c>
    </row>
    <row r="418" spans="1:12" x14ac:dyDescent="0.35">
      <c r="A418" t="s">
        <v>673</v>
      </c>
      <c r="B418">
        <v>45630</v>
      </c>
      <c r="C418" t="s">
        <v>369</v>
      </c>
      <c r="D418" t="s">
        <v>42</v>
      </c>
      <c r="E418" t="s">
        <v>38</v>
      </c>
      <c r="F418" t="s">
        <v>39</v>
      </c>
      <c r="G418">
        <v>2</v>
      </c>
      <c r="H418" s="2">
        <v>93</v>
      </c>
      <c r="I418" s="2">
        <v>186</v>
      </c>
      <c r="J418" s="2">
        <v>107.49</v>
      </c>
      <c r="K418" s="2">
        <v>78.510000000000005</v>
      </c>
      <c r="L418" t="s">
        <v>21</v>
      </c>
    </row>
    <row r="419" spans="1:12" x14ac:dyDescent="0.35">
      <c r="A419" t="s">
        <v>674</v>
      </c>
      <c r="B419">
        <v>45505</v>
      </c>
      <c r="C419" t="s">
        <v>675</v>
      </c>
      <c r="D419" t="s">
        <v>42</v>
      </c>
      <c r="E419" t="s">
        <v>15</v>
      </c>
      <c r="F419" t="s">
        <v>25</v>
      </c>
      <c r="G419">
        <v>2</v>
      </c>
      <c r="H419" s="2">
        <v>60</v>
      </c>
      <c r="I419" s="2">
        <v>120</v>
      </c>
      <c r="J419" s="2">
        <v>78.03</v>
      </c>
      <c r="K419" s="2">
        <v>41.97</v>
      </c>
      <c r="L419" t="s">
        <v>17</v>
      </c>
    </row>
    <row r="420" spans="1:12" x14ac:dyDescent="0.35">
      <c r="A420" t="s">
        <v>676</v>
      </c>
      <c r="B420">
        <v>45610</v>
      </c>
      <c r="C420" t="s">
        <v>216</v>
      </c>
      <c r="D420" t="s">
        <v>42</v>
      </c>
      <c r="E420" t="s">
        <v>15</v>
      </c>
      <c r="F420" t="s">
        <v>20</v>
      </c>
      <c r="G420">
        <v>5</v>
      </c>
      <c r="H420" s="2">
        <v>58</v>
      </c>
      <c r="I420" s="2">
        <v>290</v>
      </c>
      <c r="J420" s="2">
        <v>169.67</v>
      </c>
      <c r="K420" s="2">
        <v>120.33</v>
      </c>
      <c r="L420" t="s">
        <v>35</v>
      </c>
    </row>
    <row r="421" spans="1:12" x14ac:dyDescent="0.35">
      <c r="A421" t="s">
        <v>677</v>
      </c>
      <c r="B421">
        <v>45508</v>
      </c>
      <c r="C421" t="s">
        <v>169</v>
      </c>
      <c r="D421" t="s">
        <v>42</v>
      </c>
      <c r="E421" t="s">
        <v>29</v>
      </c>
      <c r="F421" t="s">
        <v>47</v>
      </c>
      <c r="G421">
        <v>3</v>
      </c>
      <c r="H421" s="2">
        <v>60</v>
      </c>
      <c r="I421" s="2">
        <v>180</v>
      </c>
      <c r="J421" s="2">
        <v>142.26</v>
      </c>
      <c r="K421" s="2">
        <v>37.74</v>
      </c>
      <c r="L421" t="s">
        <v>17</v>
      </c>
    </row>
    <row r="422" spans="1:12" x14ac:dyDescent="0.35">
      <c r="A422" t="s">
        <v>678</v>
      </c>
      <c r="B422">
        <v>45604</v>
      </c>
      <c r="C422" t="s">
        <v>486</v>
      </c>
      <c r="D422" t="s">
        <v>42</v>
      </c>
      <c r="E422" t="s">
        <v>33</v>
      </c>
      <c r="F422" t="s">
        <v>92</v>
      </c>
      <c r="G422">
        <v>3</v>
      </c>
      <c r="H422" s="2">
        <v>80</v>
      </c>
      <c r="I422" s="2">
        <v>240</v>
      </c>
      <c r="J422" s="2">
        <v>176.6</v>
      </c>
      <c r="K422" s="2">
        <v>63.4</v>
      </c>
      <c r="L422" t="s">
        <v>21</v>
      </c>
    </row>
    <row r="423" spans="1:12" x14ac:dyDescent="0.35">
      <c r="A423" t="s">
        <v>679</v>
      </c>
      <c r="B423">
        <v>45355</v>
      </c>
      <c r="C423" t="s">
        <v>243</v>
      </c>
      <c r="D423" t="s">
        <v>42</v>
      </c>
      <c r="E423" t="s">
        <v>33</v>
      </c>
      <c r="F423" t="s">
        <v>34</v>
      </c>
      <c r="G423">
        <v>2</v>
      </c>
      <c r="H423" s="2">
        <v>70</v>
      </c>
      <c r="I423" s="2">
        <v>140</v>
      </c>
      <c r="J423" s="2">
        <v>97.87</v>
      </c>
      <c r="K423" s="2">
        <v>42.13</v>
      </c>
      <c r="L423" t="s">
        <v>21</v>
      </c>
    </row>
    <row r="424" spans="1:12" x14ac:dyDescent="0.35">
      <c r="A424" t="s">
        <v>680</v>
      </c>
      <c r="B424">
        <v>45485</v>
      </c>
      <c r="C424" t="s">
        <v>649</v>
      </c>
      <c r="D424" t="s">
        <v>28</v>
      </c>
      <c r="E424" t="s">
        <v>29</v>
      </c>
      <c r="F424" t="s">
        <v>47</v>
      </c>
      <c r="G424">
        <v>5</v>
      </c>
      <c r="H424" s="2">
        <v>53</v>
      </c>
      <c r="I424" s="2">
        <v>265</v>
      </c>
      <c r="J424" s="2">
        <v>186.92</v>
      </c>
      <c r="K424" s="2">
        <v>78.08</v>
      </c>
      <c r="L424" t="s">
        <v>17</v>
      </c>
    </row>
    <row r="425" spans="1:12" x14ac:dyDescent="0.35">
      <c r="A425" t="s">
        <v>681</v>
      </c>
      <c r="B425">
        <v>45357</v>
      </c>
      <c r="C425" t="s">
        <v>13</v>
      </c>
      <c r="D425" t="s">
        <v>42</v>
      </c>
      <c r="E425" t="s">
        <v>29</v>
      </c>
      <c r="F425" t="s">
        <v>47</v>
      </c>
      <c r="G425">
        <v>2</v>
      </c>
      <c r="H425" s="2">
        <v>27</v>
      </c>
      <c r="I425" s="2">
        <v>54</v>
      </c>
      <c r="J425" s="2">
        <v>35.130000000000003</v>
      </c>
      <c r="K425" s="2">
        <v>18.87</v>
      </c>
      <c r="L425" t="s">
        <v>17</v>
      </c>
    </row>
    <row r="426" spans="1:12" x14ac:dyDescent="0.35">
      <c r="A426" t="s">
        <v>682</v>
      </c>
      <c r="B426">
        <v>45555</v>
      </c>
      <c r="C426" t="s">
        <v>481</v>
      </c>
      <c r="D426" t="s">
        <v>24</v>
      </c>
      <c r="E426" t="s">
        <v>33</v>
      </c>
      <c r="F426" t="s">
        <v>55</v>
      </c>
      <c r="G426">
        <v>4</v>
      </c>
      <c r="H426" s="2">
        <v>65</v>
      </c>
      <c r="I426" s="2">
        <v>260</v>
      </c>
      <c r="J426" s="2">
        <v>177.87</v>
      </c>
      <c r="K426" s="2">
        <v>82.13</v>
      </c>
      <c r="L426" t="s">
        <v>21</v>
      </c>
    </row>
    <row r="427" spans="1:12" x14ac:dyDescent="0.35">
      <c r="A427" t="s">
        <v>683</v>
      </c>
      <c r="B427">
        <v>45602</v>
      </c>
      <c r="C427" t="s">
        <v>286</v>
      </c>
      <c r="D427" t="s">
        <v>28</v>
      </c>
      <c r="E427" t="s">
        <v>29</v>
      </c>
      <c r="F427" t="s">
        <v>30</v>
      </c>
      <c r="G427">
        <v>2</v>
      </c>
      <c r="H427" s="2">
        <v>63</v>
      </c>
      <c r="I427" s="2">
        <v>126</v>
      </c>
      <c r="J427" s="2">
        <v>69.489999999999995</v>
      </c>
      <c r="K427" s="2">
        <v>56.51</v>
      </c>
      <c r="L427" t="s">
        <v>44</v>
      </c>
    </row>
    <row r="428" spans="1:12" x14ac:dyDescent="0.35">
      <c r="A428" t="s">
        <v>684</v>
      </c>
      <c r="B428">
        <v>45462</v>
      </c>
      <c r="C428" t="s">
        <v>275</v>
      </c>
      <c r="D428" t="s">
        <v>14</v>
      </c>
      <c r="E428" t="s">
        <v>38</v>
      </c>
      <c r="F428" t="s">
        <v>39</v>
      </c>
      <c r="G428">
        <v>5</v>
      </c>
      <c r="H428" s="2">
        <v>87</v>
      </c>
      <c r="I428" s="2">
        <v>435</v>
      </c>
      <c r="J428" s="2">
        <v>330.83</v>
      </c>
      <c r="K428" s="2">
        <v>104.17</v>
      </c>
      <c r="L428" t="s">
        <v>21</v>
      </c>
    </row>
    <row r="429" spans="1:12" x14ac:dyDescent="0.35">
      <c r="A429" t="s">
        <v>685</v>
      </c>
      <c r="B429">
        <v>45553</v>
      </c>
      <c r="C429" t="s">
        <v>432</v>
      </c>
      <c r="D429" t="s">
        <v>28</v>
      </c>
      <c r="E429" t="s">
        <v>38</v>
      </c>
      <c r="F429" t="s">
        <v>58</v>
      </c>
      <c r="G429">
        <v>4</v>
      </c>
      <c r="H429" s="2">
        <v>12</v>
      </c>
      <c r="I429" s="2">
        <v>48</v>
      </c>
      <c r="J429" s="2">
        <v>26.4</v>
      </c>
      <c r="K429" s="2">
        <v>21.6</v>
      </c>
      <c r="L429" t="s">
        <v>35</v>
      </c>
    </row>
    <row r="430" spans="1:12" x14ac:dyDescent="0.35">
      <c r="A430" t="s">
        <v>686</v>
      </c>
      <c r="B430">
        <v>45587</v>
      </c>
      <c r="C430" t="s">
        <v>445</v>
      </c>
      <c r="D430" t="s">
        <v>28</v>
      </c>
      <c r="E430" t="s">
        <v>38</v>
      </c>
      <c r="F430" t="s">
        <v>52</v>
      </c>
      <c r="G430">
        <v>1</v>
      </c>
      <c r="H430" s="2">
        <v>13</v>
      </c>
      <c r="I430" s="2">
        <v>13</v>
      </c>
      <c r="J430" s="2">
        <v>8.5399999999999991</v>
      </c>
      <c r="K430" s="2">
        <v>4.46</v>
      </c>
      <c r="L430" t="s">
        <v>21</v>
      </c>
    </row>
    <row r="431" spans="1:12" x14ac:dyDescent="0.35">
      <c r="A431" t="s">
        <v>687</v>
      </c>
      <c r="B431">
        <v>45385</v>
      </c>
      <c r="C431" t="s">
        <v>236</v>
      </c>
      <c r="D431" t="s">
        <v>42</v>
      </c>
      <c r="E431" t="s">
        <v>33</v>
      </c>
      <c r="F431" t="s">
        <v>34</v>
      </c>
      <c r="G431">
        <v>1</v>
      </c>
      <c r="H431" s="2">
        <v>45</v>
      </c>
      <c r="I431" s="2">
        <v>45</v>
      </c>
      <c r="J431" s="2">
        <v>22.98</v>
      </c>
      <c r="K431" s="2">
        <v>22.02</v>
      </c>
      <c r="L431" t="s">
        <v>21</v>
      </c>
    </row>
    <row r="432" spans="1:12" x14ac:dyDescent="0.35">
      <c r="A432" t="s">
        <v>688</v>
      </c>
      <c r="B432">
        <v>45307</v>
      </c>
      <c r="C432" t="s">
        <v>689</v>
      </c>
      <c r="D432" t="s">
        <v>24</v>
      </c>
      <c r="E432" t="s">
        <v>29</v>
      </c>
      <c r="F432" t="s">
        <v>30</v>
      </c>
      <c r="G432">
        <v>1</v>
      </c>
      <c r="H432" s="2">
        <v>26</v>
      </c>
      <c r="I432" s="2">
        <v>26</v>
      </c>
      <c r="J432" s="2">
        <v>13.07</v>
      </c>
      <c r="K432" s="2">
        <v>12.93</v>
      </c>
      <c r="L432" t="s">
        <v>44</v>
      </c>
    </row>
    <row r="433" spans="1:12" x14ac:dyDescent="0.35">
      <c r="A433" t="s">
        <v>690</v>
      </c>
      <c r="B433">
        <v>45597</v>
      </c>
      <c r="C433" t="s">
        <v>691</v>
      </c>
      <c r="D433" t="s">
        <v>28</v>
      </c>
      <c r="E433" t="s">
        <v>29</v>
      </c>
      <c r="F433" t="s">
        <v>30</v>
      </c>
      <c r="G433">
        <v>4</v>
      </c>
      <c r="H433" s="2">
        <v>76</v>
      </c>
      <c r="I433" s="2">
        <v>304</v>
      </c>
      <c r="J433" s="2">
        <v>239.66</v>
      </c>
      <c r="K433" s="2">
        <v>64.34</v>
      </c>
      <c r="L433" t="s">
        <v>21</v>
      </c>
    </row>
    <row r="434" spans="1:12" x14ac:dyDescent="0.35">
      <c r="A434" t="s">
        <v>692</v>
      </c>
      <c r="B434">
        <v>45559</v>
      </c>
      <c r="C434" t="s">
        <v>304</v>
      </c>
      <c r="D434" t="s">
        <v>42</v>
      </c>
      <c r="E434" t="s">
        <v>38</v>
      </c>
      <c r="F434" t="s">
        <v>39</v>
      </c>
      <c r="G434">
        <v>5</v>
      </c>
      <c r="H434" s="2">
        <v>79</v>
      </c>
      <c r="I434" s="2">
        <v>395</v>
      </c>
      <c r="J434" s="2">
        <v>304.04000000000002</v>
      </c>
      <c r="K434" s="2">
        <v>90.96</v>
      </c>
      <c r="L434" t="s">
        <v>35</v>
      </c>
    </row>
    <row r="435" spans="1:12" x14ac:dyDescent="0.35">
      <c r="A435" t="s">
        <v>693</v>
      </c>
      <c r="B435">
        <v>45434</v>
      </c>
      <c r="C435" t="s">
        <v>266</v>
      </c>
      <c r="D435" t="s">
        <v>28</v>
      </c>
      <c r="E435" t="s">
        <v>38</v>
      </c>
      <c r="F435" t="s">
        <v>39</v>
      </c>
      <c r="G435">
        <v>5</v>
      </c>
      <c r="H435" s="2">
        <v>27</v>
      </c>
      <c r="I435" s="2">
        <v>135</v>
      </c>
      <c r="J435" s="2">
        <v>81.14</v>
      </c>
      <c r="K435" s="2">
        <v>53.86</v>
      </c>
      <c r="L435" t="s">
        <v>21</v>
      </c>
    </row>
    <row r="436" spans="1:12" x14ac:dyDescent="0.35">
      <c r="A436" t="s">
        <v>694</v>
      </c>
      <c r="B436">
        <v>45525</v>
      </c>
      <c r="C436" t="s">
        <v>342</v>
      </c>
      <c r="D436" t="s">
        <v>24</v>
      </c>
      <c r="E436" t="s">
        <v>29</v>
      </c>
      <c r="F436" t="s">
        <v>43</v>
      </c>
      <c r="G436">
        <v>5</v>
      </c>
      <c r="H436" s="2">
        <v>27</v>
      </c>
      <c r="I436" s="2">
        <v>135</v>
      </c>
      <c r="J436" s="2">
        <v>72.66</v>
      </c>
      <c r="K436" s="2">
        <v>62.34</v>
      </c>
      <c r="L436" t="s">
        <v>44</v>
      </c>
    </row>
    <row r="437" spans="1:12" x14ac:dyDescent="0.35">
      <c r="A437" t="s">
        <v>695</v>
      </c>
      <c r="B437">
        <v>45466</v>
      </c>
      <c r="C437" t="s">
        <v>109</v>
      </c>
      <c r="D437" t="s">
        <v>14</v>
      </c>
      <c r="E437" t="s">
        <v>29</v>
      </c>
      <c r="F437" t="s">
        <v>43</v>
      </c>
      <c r="G437">
        <v>2</v>
      </c>
      <c r="H437" s="2">
        <v>90</v>
      </c>
      <c r="I437" s="2">
        <v>180</v>
      </c>
      <c r="J437" s="2">
        <v>128.72999999999999</v>
      </c>
      <c r="K437" s="2">
        <v>51.27</v>
      </c>
      <c r="L437" t="s">
        <v>44</v>
      </c>
    </row>
    <row r="438" spans="1:12" x14ac:dyDescent="0.35">
      <c r="A438" t="s">
        <v>696</v>
      </c>
      <c r="B438">
        <v>45446</v>
      </c>
      <c r="C438" t="s">
        <v>275</v>
      </c>
      <c r="D438" t="s">
        <v>28</v>
      </c>
      <c r="E438" t="s">
        <v>33</v>
      </c>
      <c r="F438" t="s">
        <v>55</v>
      </c>
      <c r="G438">
        <v>5</v>
      </c>
      <c r="H438" s="2">
        <v>28</v>
      </c>
      <c r="I438" s="2">
        <v>140</v>
      </c>
      <c r="J438" s="2">
        <v>83.01</v>
      </c>
      <c r="K438" s="2">
        <v>56.99</v>
      </c>
      <c r="L438" t="s">
        <v>35</v>
      </c>
    </row>
    <row r="439" spans="1:12" x14ac:dyDescent="0.35">
      <c r="A439" t="s">
        <v>697</v>
      </c>
      <c r="B439">
        <v>45576</v>
      </c>
      <c r="C439" t="s">
        <v>498</v>
      </c>
      <c r="D439" t="s">
        <v>24</v>
      </c>
      <c r="E439" t="s">
        <v>33</v>
      </c>
      <c r="F439" t="s">
        <v>92</v>
      </c>
      <c r="G439">
        <v>5</v>
      </c>
      <c r="H439" s="2">
        <v>65</v>
      </c>
      <c r="I439" s="2">
        <v>325</v>
      </c>
      <c r="J439" s="2">
        <v>244.85</v>
      </c>
      <c r="K439" s="2">
        <v>80.150000000000006</v>
      </c>
      <c r="L439" t="s">
        <v>21</v>
      </c>
    </row>
    <row r="440" spans="1:12" x14ac:dyDescent="0.35">
      <c r="A440" t="s">
        <v>698</v>
      </c>
      <c r="B440">
        <v>45531</v>
      </c>
      <c r="C440" t="s">
        <v>352</v>
      </c>
      <c r="D440" t="s">
        <v>14</v>
      </c>
      <c r="E440" t="s">
        <v>33</v>
      </c>
      <c r="F440" t="s">
        <v>55</v>
      </c>
      <c r="G440">
        <v>4</v>
      </c>
      <c r="H440" s="2">
        <v>12</v>
      </c>
      <c r="I440" s="2">
        <v>48</v>
      </c>
      <c r="J440" s="2">
        <v>36.96</v>
      </c>
      <c r="K440" s="2">
        <v>11.04</v>
      </c>
      <c r="L440" t="s">
        <v>17</v>
      </c>
    </row>
    <row r="441" spans="1:12" x14ac:dyDescent="0.35">
      <c r="A441" t="s">
        <v>699</v>
      </c>
      <c r="B441">
        <v>45346</v>
      </c>
      <c r="C441" t="s">
        <v>700</v>
      </c>
      <c r="D441" t="s">
        <v>24</v>
      </c>
      <c r="E441" t="s">
        <v>15</v>
      </c>
      <c r="F441" t="s">
        <v>25</v>
      </c>
      <c r="G441">
        <v>2</v>
      </c>
      <c r="H441" s="2">
        <v>89</v>
      </c>
      <c r="I441" s="2">
        <v>178</v>
      </c>
      <c r="J441" s="2">
        <v>109.6</v>
      </c>
      <c r="K441" s="2">
        <v>68.400000000000006</v>
      </c>
      <c r="L441" t="s">
        <v>35</v>
      </c>
    </row>
    <row r="442" spans="1:12" x14ac:dyDescent="0.35">
      <c r="A442" t="s">
        <v>701</v>
      </c>
      <c r="B442">
        <v>45611</v>
      </c>
      <c r="C442" t="s">
        <v>538</v>
      </c>
      <c r="D442" t="s">
        <v>42</v>
      </c>
      <c r="E442" t="s">
        <v>29</v>
      </c>
      <c r="F442" t="s">
        <v>43</v>
      </c>
      <c r="G442">
        <v>4</v>
      </c>
      <c r="H442" s="2">
        <v>16</v>
      </c>
      <c r="I442" s="2">
        <v>64</v>
      </c>
      <c r="J442" s="2">
        <v>41.88</v>
      </c>
      <c r="K442" s="2">
        <v>22.12</v>
      </c>
      <c r="L442" t="s">
        <v>17</v>
      </c>
    </row>
    <row r="443" spans="1:12" x14ac:dyDescent="0.35">
      <c r="A443" t="s">
        <v>702</v>
      </c>
      <c r="B443">
        <v>45604</v>
      </c>
      <c r="C443" t="s">
        <v>222</v>
      </c>
      <c r="D443" t="s">
        <v>14</v>
      </c>
      <c r="E443" t="s">
        <v>33</v>
      </c>
      <c r="F443" t="s">
        <v>55</v>
      </c>
      <c r="G443">
        <v>2</v>
      </c>
      <c r="H443" s="2">
        <v>30</v>
      </c>
      <c r="I443" s="2">
        <v>60</v>
      </c>
      <c r="J443" s="2">
        <v>37.07</v>
      </c>
      <c r="K443" s="2">
        <v>22.93</v>
      </c>
      <c r="L443" t="s">
        <v>17</v>
      </c>
    </row>
    <row r="444" spans="1:12" x14ac:dyDescent="0.35">
      <c r="A444" t="s">
        <v>703</v>
      </c>
      <c r="B444">
        <v>45437</v>
      </c>
      <c r="C444" t="s">
        <v>704</v>
      </c>
      <c r="D444" t="s">
        <v>42</v>
      </c>
      <c r="E444" t="s">
        <v>29</v>
      </c>
      <c r="F444" t="s">
        <v>30</v>
      </c>
      <c r="G444">
        <v>4</v>
      </c>
      <c r="H444" s="2">
        <v>64</v>
      </c>
      <c r="I444" s="2">
        <v>256</v>
      </c>
      <c r="J444" s="2">
        <v>142.37</v>
      </c>
      <c r="K444" s="2">
        <v>113.63</v>
      </c>
      <c r="L444" t="s">
        <v>44</v>
      </c>
    </row>
    <row r="445" spans="1:12" x14ac:dyDescent="0.35">
      <c r="A445" t="s">
        <v>705</v>
      </c>
      <c r="B445">
        <v>45574</v>
      </c>
      <c r="C445" t="s">
        <v>700</v>
      </c>
      <c r="D445" t="s">
        <v>14</v>
      </c>
      <c r="E445" t="s">
        <v>38</v>
      </c>
      <c r="F445" t="s">
        <v>39</v>
      </c>
      <c r="G445">
        <v>3</v>
      </c>
      <c r="H445" s="2">
        <v>36</v>
      </c>
      <c r="I445" s="2">
        <v>108</v>
      </c>
      <c r="J445" s="2">
        <v>79.180000000000007</v>
      </c>
      <c r="K445" s="2">
        <v>28.82</v>
      </c>
      <c r="L445" t="s">
        <v>21</v>
      </c>
    </row>
    <row r="446" spans="1:12" x14ac:dyDescent="0.35">
      <c r="A446" t="s">
        <v>706</v>
      </c>
      <c r="B446">
        <v>45589</v>
      </c>
      <c r="C446" t="s">
        <v>150</v>
      </c>
      <c r="D446" t="s">
        <v>42</v>
      </c>
      <c r="E446" t="s">
        <v>38</v>
      </c>
      <c r="F446" t="s">
        <v>58</v>
      </c>
      <c r="G446">
        <v>1</v>
      </c>
      <c r="H446" s="2">
        <v>37</v>
      </c>
      <c r="I446" s="2">
        <v>37</v>
      </c>
      <c r="J446" s="2">
        <v>21.84</v>
      </c>
      <c r="K446" s="2">
        <v>15.16</v>
      </c>
      <c r="L446" t="s">
        <v>35</v>
      </c>
    </row>
    <row r="447" spans="1:12" x14ac:dyDescent="0.35">
      <c r="A447" t="s">
        <v>707</v>
      </c>
      <c r="B447">
        <v>45562</v>
      </c>
      <c r="C447" t="s">
        <v>97</v>
      </c>
      <c r="D447" t="s">
        <v>28</v>
      </c>
      <c r="E447" t="s">
        <v>15</v>
      </c>
      <c r="F447" t="s">
        <v>25</v>
      </c>
      <c r="G447">
        <v>3</v>
      </c>
      <c r="H447" s="2">
        <v>21</v>
      </c>
      <c r="I447" s="2">
        <v>63</v>
      </c>
      <c r="J447" s="2">
        <v>39.409999999999997</v>
      </c>
      <c r="K447" s="2">
        <v>23.59</v>
      </c>
      <c r="L447" t="s">
        <v>44</v>
      </c>
    </row>
    <row r="448" spans="1:12" x14ac:dyDescent="0.35">
      <c r="A448" t="s">
        <v>708</v>
      </c>
      <c r="B448">
        <v>45415</v>
      </c>
      <c r="C448" t="s">
        <v>440</v>
      </c>
      <c r="D448" t="s">
        <v>14</v>
      </c>
      <c r="E448" t="s">
        <v>15</v>
      </c>
      <c r="F448" t="s">
        <v>25</v>
      </c>
      <c r="G448">
        <v>5</v>
      </c>
      <c r="H448" s="2">
        <v>37</v>
      </c>
      <c r="I448" s="2">
        <v>185</v>
      </c>
      <c r="J448" s="2">
        <v>134.72</v>
      </c>
      <c r="K448" s="2">
        <v>50.28</v>
      </c>
      <c r="L448" t="s">
        <v>44</v>
      </c>
    </row>
    <row r="449" spans="1:12" x14ac:dyDescent="0.35">
      <c r="A449" t="s">
        <v>709</v>
      </c>
      <c r="B449">
        <v>45602</v>
      </c>
      <c r="C449" t="s">
        <v>710</v>
      </c>
      <c r="D449" t="s">
        <v>28</v>
      </c>
      <c r="E449" t="s">
        <v>15</v>
      </c>
      <c r="F449" t="s">
        <v>20</v>
      </c>
      <c r="G449">
        <v>2</v>
      </c>
      <c r="H449" s="2">
        <v>32</v>
      </c>
      <c r="I449" s="2">
        <v>64</v>
      </c>
      <c r="J449" s="2">
        <v>48.54</v>
      </c>
      <c r="K449" s="2">
        <v>15.46</v>
      </c>
      <c r="L449" t="s">
        <v>17</v>
      </c>
    </row>
    <row r="450" spans="1:12" x14ac:dyDescent="0.35">
      <c r="A450" t="s">
        <v>711</v>
      </c>
      <c r="B450">
        <v>45330</v>
      </c>
      <c r="C450" t="s">
        <v>712</v>
      </c>
      <c r="D450" t="s">
        <v>28</v>
      </c>
      <c r="E450" t="s">
        <v>38</v>
      </c>
      <c r="F450" t="s">
        <v>39</v>
      </c>
      <c r="G450">
        <v>3</v>
      </c>
      <c r="H450" s="2">
        <v>98</v>
      </c>
      <c r="I450" s="2">
        <v>294</v>
      </c>
      <c r="J450" s="2">
        <v>214.57</v>
      </c>
      <c r="K450" s="2">
        <v>79.430000000000007</v>
      </c>
      <c r="L450" t="s">
        <v>21</v>
      </c>
    </row>
    <row r="451" spans="1:12" x14ac:dyDescent="0.35">
      <c r="A451" t="s">
        <v>713</v>
      </c>
      <c r="B451">
        <v>45600</v>
      </c>
      <c r="C451" t="s">
        <v>220</v>
      </c>
      <c r="D451" t="s">
        <v>24</v>
      </c>
      <c r="E451" t="s">
        <v>29</v>
      </c>
      <c r="F451" t="s">
        <v>30</v>
      </c>
      <c r="G451">
        <v>4</v>
      </c>
      <c r="H451" s="2">
        <v>20</v>
      </c>
      <c r="I451" s="2">
        <v>80</v>
      </c>
      <c r="J451" s="2">
        <v>49.57</v>
      </c>
      <c r="K451" s="2">
        <v>30.43</v>
      </c>
      <c r="L451" t="s">
        <v>21</v>
      </c>
    </row>
    <row r="452" spans="1:12" x14ac:dyDescent="0.35">
      <c r="A452" t="s">
        <v>714</v>
      </c>
      <c r="B452">
        <v>45413</v>
      </c>
      <c r="C452" t="s">
        <v>239</v>
      </c>
      <c r="D452" t="s">
        <v>14</v>
      </c>
      <c r="E452" t="s">
        <v>29</v>
      </c>
      <c r="F452" t="s">
        <v>30</v>
      </c>
      <c r="G452">
        <v>4</v>
      </c>
      <c r="H452" s="2">
        <v>94</v>
      </c>
      <c r="I452" s="2">
        <v>376</v>
      </c>
      <c r="J452" s="2">
        <v>249.35</v>
      </c>
      <c r="K452" s="2">
        <v>126.65</v>
      </c>
      <c r="L452" t="s">
        <v>17</v>
      </c>
    </row>
    <row r="453" spans="1:12" x14ac:dyDescent="0.35">
      <c r="A453" t="s">
        <v>715</v>
      </c>
      <c r="B453">
        <v>45296</v>
      </c>
      <c r="C453" t="s">
        <v>541</v>
      </c>
      <c r="D453" t="s">
        <v>28</v>
      </c>
      <c r="E453" t="s">
        <v>15</v>
      </c>
      <c r="F453" t="s">
        <v>16</v>
      </c>
      <c r="G453">
        <v>1</v>
      </c>
      <c r="H453" s="2">
        <v>20</v>
      </c>
      <c r="I453" s="2">
        <v>20</v>
      </c>
      <c r="J453" s="2">
        <v>13.82</v>
      </c>
      <c r="K453" s="2">
        <v>6.18</v>
      </c>
      <c r="L453" t="s">
        <v>44</v>
      </c>
    </row>
    <row r="454" spans="1:12" x14ac:dyDescent="0.35">
      <c r="A454" t="s">
        <v>716</v>
      </c>
      <c r="B454">
        <v>45366</v>
      </c>
      <c r="C454" t="s">
        <v>125</v>
      </c>
      <c r="D454" t="s">
        <v>14</v>
      </c>
      <c r="E454" t="s">
        <v>15</v>
      </c>
      <c r="F454" t="s">
        <v>20</v>
      </c>
      <c r="G454">
        <v>4</v>
      </c>
      <c r="H454" s="2">
        <v>65</v>
      </c>
      <c r="I454" s="2">
        <v>260</v>
      </c>
      <c r="J454" s="2">
        <v>173.79</v>
      </c>
      <c r="K454" s="2">
        <v>86.21</v>
      </c>
      <c r="L454" t="s">
        <v>21</v>
      </c>
    </row>
    <row r="455" spans="1:12" x14ac:dyDescent="0.35">
      <c r="A455" t="s">
        <v>717</v>
      </c>
      <c r="B455">
        <v>45631</v>
      </c>
      <c r="C455" t="s">
        <v>572</v>
      </c>
      <c r="D455" t="s">
        <v>24</v>
      </c>
      <c r="E455" t="s">
        <v>38</v>
      </c>
      <c r="F455" t="s">
        <v>58</v>
      </c>
      <c r="G455">
        <v>1</v>
      </c>
      <c r="H455" s="2">
        <v>16</v>
      </c>
      <c r="I455" s="2">
        <v>16</v>
      </c>
      <c r="J455" s="2">
        <v>11.27</v>
      </c>
      <c r="K455" s="2">
        <v>4.7300000000000004</v>
      </c>
      <c r="L455" t="s">
        <v>35</v>
      </c>
    </row>
    <row r="456" spans="1:12" x14ac:dyDescent="0.35">
      <c r="A456" t="s">
        <v>718</v>
      </c>
      <c r="B456">
        <v>45386</v>
      </c>
      <c r="C456" t="s">
        <v>109</v>
      </c>
      <c r="D456" t="s">
        <v>28</v>
      </c>
      <c r="E456" t="s">
        <v>38</v>
      </c>
      <c r="F456" t="s">
        <v>52</v>
      </c>
      <c r="G456">
        <v>4</v>
      </c>
      <c r="H456" s="2">
        <v>11</v>
      </c>
      <c r="I456" s="2">
        <v>44</v>
      </c>
      <c r="J456" s="2">
        <v>31.45</v>
      </c>
      <c r="K456" s="2">
        <v>12.55</v>
      </c>
      <c r="L456" t="s">
        <v>17</v>
      </c>
    </row>
    <row r="457" spans="1:12" x14ac:dyDescent="0.35">
      <c r="A457" t="s">
        <v>719</v>
      </c>
      <c r="B457">
        <v>45610</v>
      </c>
      <c r="C457" t="s">
        <v>720</v>
      </c>
      <c r="D457" t="s">
        <v>14</v>
      </c>
      <c r="E457" t="s">
        <v>15</v>
      </c>
      <c r="F457" t="s">
        <v>16</v>
      </c>
      <c r="G457">
        <v>1</v>
      </c>
      <c r="H457" s="2">
        <v>15</v>
      </c>
      <c r="I457" s="2">
        <v>15</v>
      </c>
      <c r="J457" s="2">
        <v>8.42</v>
      </c>
      <c r="K457" s="2">
        <v>6.58</v>
      </c>
      <c r="L457" t="s">
        <v>35</v>
      </c>
    </row>
    <row r="458" spans="1:12" x14ac:dyDescent="0.35">
      <c r="A458" t="s">
        <v>721</v>
      </c>
      <c r="B458">
        <v>45388</v>
      </c>
      <c r="C458" t="s">
        <v>434</v>
      </c>
      <c r="D458" t="s">
        <v>42</v>
      </c>
      <c r="E458" t="s">
        <v>33</v>
      </c>
      <c r="F458" t="s">
        <v>55</v>
      </c>
      <c r="G458">
        <v>1</v>
      </c>
      <c r="H458" s="2">
        <v>90</v>
      </c>
      <c r="I458" s="2">
        <v>90</v>
      </c>
      <c r="J458" s="2">
        <v>45.48</v>
      </c>
      <c r="K458" s="2">
        <v>44.52</v>
      </c>
      <c r="L458" t="s">
        <v>17</v>
      </c>
    </row>
    <row r="459" spans="1:12" x14ac:dyDescent="0.35">
      <c r="A459" t="s">
        <v>722</v>
      </c>
      <c r="B459">
        <v>45584</v>
      </c>
      <c r="C459" t="s">
        <v>312</v>
      </c>
      <c r="D459" t="s">
        <v>28</v>
      </c>
      <c r="E459" t="s">
        <v>29</v>
      </c>
      <c r="F459" t="s">
        <v>43</v>
      </c>
      <c r="G459">
        <v>5</v>
      </c>
      <c r="H459" s="2">
        <v>62</v>
      </c>
      <c r="I459" s="2">
        <v>310</v>
      </c>
      <c r="J459" s="2">
        <v>195.11</v>
      </c>
      <c r="K459" s="2">
        <v>114.89</v>
      </c>
      <c r="L459" t="s">
        <v>21</v>
      </c>
    </row>
    <row r="460" spans="1:12" x14ac:dyDescent="0.35">
      <c r="A460" t="s">
        <v>723</v>
      </c>
      <c r="B460">
        <v>45417</v>
      </c>
      <c r="C460" t="s">
        <v>159</v>
      </c>
      <c r="D460" t="s">
        <v>28</v>
      </c>
      <c r="E460" t="s">
        <v>29</v>
      </c>
      <c r="F460" t="s">
        <v>47</v>
      </c>
      <c r="G460">
        <v>4</v>
      </c>
      <c r="H460" s="2">
        <v>37</v>
      </c>
      <c r="I460" s="2">
        <v>148</v>
      </c>
      <c r="J460" s="2">
        <v>87.09</v>
      </c>
      <c r="K460" s="2">
        <v>60.91</v>
      </c>
      <c r="L460" t="s">
        <v>35</v>
      </c>
    </row>
    <row r="461" spans="1:12" x14ac:dyDescent="0.35">
      <c r="A461" t="s">
        <v>724</v>
      </c>
      <c r="B461">
        <v>45435</v>
      </c>
      <c r="C461" t="s">
        <v>184</v>
      </c>
      <c r="D461" t="s">
        <v>14</v>
      </c>
      <c r="E461" t="s">
        <v>38</v>
      </c>
      <c r="F461" t="s">
        <v>39</v>
      </c>
      <c r="G461">
        <v>3</v>
      </c>
      <c r="H461" s="2">
        <v>27</v>
      </c>
      <c r="I461" s="2">
        <v>81</v>
      </c>
      <c r="J461" s="2">
        <v>54.85</v>
      </c>
      <c r="K461" s="2">
        <v>26.15</v>
      </c>
      <c r="L461" t="s">
        <v>17</v>
      </c>
    </row>
    <row r="462" spans="1:12" x14ac:dyDescent="0.35">
      <c r="A462" t="s">
        <v>725</v>
      </c>
      <c r="B462">
        <v>45642</v>
      </c>
      <c r="C462" t="s">
        <v>689</v>
      </c>
      <c r="D462" t="s">
        <v>42</v>
      </c>
      <c r="E462" t="s">
        <v>15</v>
      </c>
      <c r="F462" t="s">
        <v>16</v>
      </c>
      <c r="G462">
        <v>4</v>
      </c>
      <c r="H462" s="2">
        <v>55</v>
      </c>
      <c r="I462" s="2">
        <v>220</v>
      </c>
      <c r="J462" s="2">
        <v>173.02</v>
      </c>
      <c r="K462" s="2">
        <v>46.98</v>
      </c>
      <c r="L462" t="s">
        <v>44</v>
      </c>
    </row>
    <row r="463" spans="1:12" x14ac:dyDescent="0.35">
      <c r="A463" t="s">
        <v>726</v>
      </c>
      <c r="B463">
        <v>45398</v>
      </c>
      <c r="C463" t="s">
        <v>486</v>
      </c>
      <c r="D463" t="s">
        <v>24</v>
      </c>
      <c r="E463" t="s">
        <v>29</v>
      </c>
      <c r="F463" t="s">
        <v>30</v>
      </c>
      <c r="G463">
        <v>5</v>
      </c>
      <c r="H463" s="2">
        <v>25</v>
      </c>
      <c r="I463" s="2">
        <v>125</v>
      </c>
      <c r="J463" s="2">
        <v>71.290000000000006</v>
      </c>
      <c r="K463" s="2">
        <v>53.71</v>
      </c>
      <c r="L463" t="s">
        <v>21</v>
      </c>
    </row>
    <row r="464" spans="1:12" x14ac:dyDescent="0.35">
      <c r="A464" t="s">
        <v>727</v>
      </c>
      <c r="B464">
        <v>45357</v>
      </c>
      <c r="C464" t="s">
        <v>428</v>
      </c>
      <c r="D464" t="s">
        <v>28</v>
      </c>
      <c r="E464" t="s">
        <v>29</v>
      </c>
      <c r="F464" t="s">
        <v>30</v>
      </c>
      <c r="G464">
        <v>4</v>
      </c>
      <c r="H464" s="2">
        <v>19</v>
      </c>
      <c r="I464" s="2">
        <v>76</v>
      </c>
      <c r="J464" s="2">
        <v>46.16</v>
      </c>
      <c r="K464" s="2">
        <v>29.84</v>
      </c>
      <c r="L464" t="s">
        <v>35</v>
      </c>
    </row>
    <row r="465" spans="1:12" x14ac:dyDescent="0.35">
      <c r="A465" t="s">
        <v>728</v>
      </c>
      <c r="B465">
        <v>45558</v>
      </c>
      <c r="C465" t="s">
        <v>273</v>
      </c>
      <c r="D465" t="s">
        <v>42</v>
      </c>
      <c r="E465" t="s">
        <v>33</v>
      </c>
      <c r="F465" t="s">
        <v>92</v>
      </c>
      <c r="G465">
        <v>5</v>
      </c>
      <c r="H465" s="2">
        <v>99</v>
      </c>
      <c r="I465" s="2">
        <v>495</v>
      </c>
      <c r="J465" s="2">
        <v>293.31</v>
      </c>
      <c r="K465" s="2">
        <v>201.69</v>
      </c>
      <c r="L465" t="s">
        <v>35</v>
      </c>
    </row>
    <row r="466" spans="1:12" x14ac:dyDescent="0.35">
      <c r="A466" t="s">
        <v>729</v>
      </c>
      <c r="B466">
        <v>45564</v>
      </c>
      <c r="C466" t="s">
        <v>216</v>
      </c>
      <c r="D466" t="s">
        <v>24</v>
      </c>
      <c r="E466" t="s">
        <v>29</v>
      </c>
      <c r="F466" t="s">
        <v>47</v>
      </c>
      <c r="G466">
        <v>4</v>
      </c>
      <c r="H466" s="2">
        <v>59</v>
      </c>
      <c r="I466" s="2">
        <v>236</v>
      </c>
      <c r="J466" s="2">
        <v>180.41</v>
      </c>
      <c r="K466" s="2">
        <v>55.59</v>
      </c>
      <c r="L466" t="s">
        <v>17</v>
      </c>
    </row>
    <row r="467" spans="1:12" x14ac:dyDescent="0.35">
      <c r="A467" t="s">
        <v>730</v>
      </c>
      <c r="B467">
        <v>45394</v>
      </c>
      <c r="C467" t="s">
        <v>584</v>
      </c>
      <c r="D467" t="s">
        <v>42</v>
      </c>
      <c r="E467" t="s">
        <v>33</v>
      </c>
      <c r="F467" t="s">
        <v>92</v>
      </c>
      <c r="G467">
        <v>4</v>
      </c>
      <c r="H467" s="2">
        <v>93</v>
      </c>
      <c r="I467" s="2">
        <v>372</v>
      </c>
      <c r="J467" s="2">
        <v>228.1</v>
      </c>
      <c r="K467" s="2">
        <v>143.9</v>
      </c>
      <c r="L467" t="s">
        <v>35</v>
      </c>
    </row>
    <row r="468" spans="1:12" x14ac:dyDescent="0.35">
      <c r="A468" t="s">
        <v>731</v>
      </c>
      <c r="B468">
        <v>45495</v>
      </c>
      <c r="C468" t="s">
        <v>138</v>
      </c>
      <c r="D468" t="s">
        <v>28</v>
      </c>
      <c r="E468" t="s">
        <v>15</v>
      </c>
      <c r="F468" t="s">
        <v>20</v>
      </c>
      <c r="G468">
        <v>3</v>
      </c>
      <c r="H468" s="2">
        <v>74</v>
      </c>
      <c r="I468" s="2">
        <v>222</v>
      </c>
      <c r="J468" s="2">
        <v>176.11</v>
      </c>
      <c r="K468" s="2">
        <v>45.89</v>
      </c>
      <c r="L468" t="s">
        <v>17</v>
      </c>
    </row>
    <row r="469" spans="1:12" x14ac:dyDescent="0.35">
      <c r="A469" t="s">
        <v>732</v>
      </c>
      <c r="B469">
        <v>45503</v>
      </c>
      <c r="C469" t="s">
        <v>155</v>
      </c>
      <c r="D469" t="s">
        <v>42</v>
      </c>
      <c r="E469" t="s">
        <v>29</v>
      </c>
      <c r="F469" t="s">
        <v>47</v>
      </c>
      <c r="G469">
        <v>5</v>
      </c>
      <c r="H469" s="2">
        <v>61</v>
      </c>
      <c r="I469" s="2">
        <v>305</v>
      </c>
      <c r="J469" s="2">
        <v>211.36</v>
      </c>
      <c r="K469" s="2">
        <v>93.64</v>
      </c>
      <c r="L469" t="s">
        <v>44</v>
      </c>
    </row>
    <row r="470" spans="1:12" x14ac:dyDescent="0.35">
      <c r="A470" t="s">
        <v>733</v>
      </c>
      <c r="B470">
        <v>45303</v>
      </c>
      <c r="C470" t="s">
        <v>51</v>
      </c>
      <c r="D470" t="s">
        <v>24</v>
      </c>
      <c r="E470" t="s">
        <v>15</v>
      </c>
      <c r="F470" t="s">
        <v>20</v>
      </c>
      <c r="G470">
        <v>5</v>
      </c>
      <c r="H470" s="2">
        <v>90</v>
      </c>
      <c r="I470" s="2">
        <v>450</v>
      </c>
      <c r="J470" s="2">
        <v>336.57</v>
      </c>
      <c r="K470" s="2">
        <v>113.43</v>
      </c>
      <c r="L470" t="s">
        <v>44</v>
      </c>
    </row>
    <row r="471" spans="1:12" x14ac:dyDescent="0.35">
      <c r="A471" t="s">
        <v>734</v>
      </c>
      <c r="B471">
        <v>45495</v>
      </c>
      <c r="C471" t="s">
        <v>735</v>
      </c>
      <c r="D471" t="s">
        <v>28</v>
      </c>
      <c r="E471" t="s">
        <v>15</v>
      </c>
      <c r="F471" t="s">
        <v>16</v>
      </c>
      <c r="G471">
        <v>4</v>
      </c>
      <c r="H471" s="2">
        <v>29</v>
      </c>
      <c r="I471" s="2">
        <v>116</v>
      </c>
      <c r="J471" s="2">
        <v>67.760000000000005</v>
      </c>
      <c r="K471" s="2">
        <v>48.24</v>
      </c>
      <c r="L471" t="s">
        <v>17</v>
      </c>
    </row>
    <row r="472" spans="1:12" x14ac:dyDescent="0.35">
      <c r="A472" t="s">
        <v>736</v>
      </c>
      <c r="B472">
        <v>45360</v>
      </c>
      <c r="C472" t="s">
        <v>483</v>
      </c>
      <c r="D472" t="s">
        <v>14</v>
      </c>
      <c r="E472" t="s">
        <v>29</v>
      </c>
      <c r="F472" t="s">
        <v>75</v>
      </c>
      <c r="G472">
        <v>3</v>
      </c>
      <c r="H472" s="2">
        <v>79</v>
      </c>
      <c r="I472" s="2">
        <v>237</v>
      </c>
      <c r="J472" s="2">
        <v>144.6</v>
      </c>
      <c r="K472" s="2">
        <v>92.4</v>
      </c>
      <c r="L472" t="s">
        <v>44</v>
      </c>
    </row>
    <row r="473" spans="1:12" x14ac:dyDescent="0.35">
      <c r="A473" t="s">
        <v>737</v>
      </c>
      <c r="B473">
        <v>45346</v>
      </c>
      <c r="C473" t="s">
        <v>259</v>
      </c>
      <c r="D473" t="s">
        <v>42</v>
      </c>
      <c r="E473" t="s">
        <v>29</v>
      </c>
      <c r="F473" t="s">
        <v>75</v>
      </c>
      <c r="G473">
        <v>4</v>
      </c>
      <c r="H473" s="2">
        <v>70</v>
      </c>
      <c r="I473" s="2">
        <v>280</v>
      </c>
      <c r="J473" s="2">
        <v>204.36</v>
      </c>
      <c r="K473" s="2">
        <v>75.64</v>
      </c>
      <c r="L473" t="s">
        <v>21</v>
      </c>
    </row>
    <row r="474" spans="1:12" x14ac:dyDescent="0.35">
      <c r="A474" t="s">
        <v>738</v>
      </c>
      <c r="B474">
        <v>45515</v>
      </c>
      <c r="C474" t="s">
        <v>150</v>
      </c>
      <c r="D474" t="s">
        <v>28</v>
      </c>
      <c r="E474" t="s">
        <v>29</v>
      </c>
      <c r="F474" t="s">
        <v>47</v>
      </c>
      <c r="G474">
        <v>4</v>
      </c>
      <c r="H474" s="2">
        <v>65</v>
      </c>
      <c r="I474" s="2">
        <v>260</v>
      </c>
      <c r="J474" s="2">
        <v>146.54</v>
      </c>
      <c r="K474" s="2">
        <v>113.46</v>
      </c>
      <c r="L474" t="s">
        <v>44</v>
      </c>
    </row>
    <row r="475" spans="1:12" x14ac:dyDescent="0.35">
      <c r="A475" t="s">
        <v>739</v>
      </c>
      <c r="B475">
        <v>45431</v>
      </c>
      <c r="C475" t="s">
        <v>365</v>
      </c>
      <c r="D475" t="s">
        <v>42</v>
      </c>
      <c r="E475" t="s">
        <v>33</v>
      </c>
      <c r="F475" t="s">
        <v>55</v>
      </c>
      <c r="G475">
        <v>4</v>
      </c>
      <c r="H475" s="2">
        <v>61</v>
      </c>
      <c r="I475" s="2">
        <v>244</v>
      </c>
      <c r="J475" s="2">
        <v>165.04</v>
      </c>
      <c r="K475" s="2">
        <v>78.959999999999994</v>
      </c>
      <c r="L475" t="s">
        <v>21</v>
      </c>
    </row>
    <row r="476" spans="1:12" x14ac:dyDescent="0.35">
      <c r="A476" t="s">
        <v>740</v>
      </c>
      <c r="B476">
        <v>45387</v>
      </c>
      <c r="C476" t="s">
        <v>741</v>
      </c>
      <c r="D476" t="s">
        <v>24</v>
      </c>
      <c r="E476" t="s">
        <v>29</v>
      </c>
      <c r="F476" t="s">
        <v>47</v>
      </c>
      <c r="G476">
        <v>4</v>
      </c>
      <c r="H476" s="2">
        <v>47</v>
      </c>
      <c r="I476" s="2">
        <v>188</v>
      </c>
      <c r="J476" s="2">
        <v>116.77</v>
      </c>
      <c r="K476" s="2">
        <v>71.23</v>
      </c>
      <c r="L476" t="s">
        <v>21</v>
      </c>
    </row>
    <row r="477" spans="1:12" x14ac:dyDescent="0.35">
      <c r="A477" t="s">
        <v>742</v>
      </c>
      <c r="B477">
        <v>45594</v>
      </c>
      <c r="C477" t="s">
        <v>207</v>
      </c>
      <c r="D477" t="s">
        <v>24</v>
      </c>
      <c r="E477" t="s">
        <v>29</v>
      </c>
      <c r="F477" t="s">
        <v>47</v>
      </c>
      <c r="G477">
        <v>1</v>
      </c>
      <c r="H477" s="2">
        <v>79</v>
      </c>
      <c r="I477" s="2">
        <v>79</v>
      </c>
      <c r="J477" s="2">
        <v>49.52</v>
      </c>
      <c r="K477" s="2">
        <v>29.48</v>
      </c>
      <c r="L477" t="s">
        <v>17</v>
      </c>
    </row>
    <row r="478" spans="1:12" x14ac:dyDescent="0.35">
      <c r="A478" t="s">
        <v>743</v>
      </c>
      <c r="B478">
        <v>45551</v>
      </c>
      <c r="C478" t="s">
        <v>533</v>
      </c>
      <c r="D478" t="s">
        <v>42</v>
      </c>
      <c r="E478" t="s">
        <v>15</v>
      </c>
      <c r="F478" t="s">
        <v>25</v>
      </c>
      <c r="G478">
        <v>4</v>
      </c>
      <c r="H478" s="2">
        <v>20</v>
      </c>
      <c r="I478" s="2">
        <v>80</v>
      </c>
      <c r="J478" s="2">
        <v>42.79</v>
      </c>
      <c r="K478" s="2">
        <v>37.21</v>
      </c>
      <c r="L478" t="s">
        <v>35</v>
      </c>
    </row>
    <row r="479" spans="1:12" x14ac:dyDescent="0.35">
      <c r="A479" t="s">
        <v>744</v>
      </c>
      <c r="B479">
        <v>45512</v>
      </c>
      <c r="C479" t="s">
        <v>410</v>
      </c>
      <c r="D479" t="s">
        <v>28</v>
      </c>
      <c r="E479" t="s">
        <v>29</v>
      </c>
      <c r="F479" t="s">
        <v>75</v>
      </c>
      <c r="G479">
        <v>3</v>
      </c>
      <c r="H479" s="2">
        <v>36</v>
      </c>
      <c r="I479" s="2">
        <v>108</v>
      </c>
      <c r="J479" s="2">
        <v>75.56</v>
      </c>
      <c r="K479" s="2">
        <v>32.44</v>
      </c>
      <c r="L479" t="s">
        <v>17</v>
      </c>
    </row>
    <row r="480" spans="1:12" x14ac:dyDescent="0.35">
      <c r="A480" t="s">
        <v>745</v>
      </c>
      <c r="B480">
        <v>45489</v>
      </c>
      <c r="C480" t="s">
        <v>746</v>
      </c>
      <c r="D480" t="s">
        <v>42</v>
      </c>
      <c r="E480" t="s">
        <v>38</v>
      </c>
      <c r="F480" t="s">
        <v>58</v>
      </c>
      <c r="G480">
        <v>5</v>
      </c>
      <c r="H480" s="2">
        <v>75</v>
      </c>
      <c r="I480" s="2">
        <v>375</v>
      </c>
      <c r="J480" s="2">
        <v>204.67</v>
      </c>
      <c r="K480" s="2">
        <v>170.33</v>
      </c>
      <c r="L480" t="s">
        <v>17</v>
      </c>
    </row>
    <row r="481" spans="1:12" x14ac:dyDescent="0.35">
      <c r="A481" t="s">
        <v>747</v>
      </c>
      <c r="B481">
        <v>45617</v>
      </c>
      <c r="C481" t="s">
        <v>268</v>
      </c>
      <c r="D481" t="s">
        <v>28</v>
      </c>
      <c r="E481" t="s">
        <v>33</v>
      </c>
      <c r="F481" t="s">
        <v>92</v>
      </c>
      <c r="G481">
        <v>3</v>
      </c>
      <c r="H481" s="2">
        <v>60</v>
      </c>
      <c r="I481" s="2">
        <v>180</v>
      </c>
      <c r="J481" s="2">
        <v>111.78</v>
      </c>
      <c r="K481" s="2">
        <v>68.22</v>
      </c>
      <c r="L481" t="s">
        <v>35</v>
      </c>
    </row>
    <row r="482" spans="1:12" x14ac:dyDescent="0.35">
      <c r="A482" t="s">
        <v>748</v>
      </c>
      <c r="B482">
        <v>45378</v>
      </c>
      <c r="C482" t="s">
        <v>749</v>
      </c>
      <c r="D482" t="s">
        <v>42</v>
      </c>
      <c r="E482" t="s">
        <v>15</v>
      </c>
      <c r="F482" t="s">
        <v>16</v>
      </c>
      <c r="G482">
        <v>5</v>
      </c>
      <c r="H482" s="2">
        <v>45</v>
      </c>
      <c r="I482" s="2">
        <v>225</v>
      </c>
      <c r="J482" s="2">
        <v>145.02000000000001</v>
      </c>
      <c r="K482" s="2">
        <v>79.98</v>
      </c>
      <c r="L482" t="s">
        <v>21</v>
      </c>
    </row>
    <row r="483" spans="1:12" x14ac:dyDescent="0.35">
      <c r="A483" t="s">
        <v>750</v>
      </c>
      <c r="B483">
        <v>45385</v>
      </c>
      <c r="C483" t="s">
        <v>751</v>
      </c>
      <c r="D483" t="s">
        <v>28</v>
      </c>
      <c r="E483" t="s">
        <v>15</v>
      </c>
      <c r="F483" t="s">
        <v>20</v>
      </c>
      <c r="G483">
        <v>5</v>
      </c>
      <c r="H483" s="2">
        <v>39</v>
      </c>
      <c r="I483" s="2">
        <v>195</v>
      </c>
      <c r="J483" s="2">
        <v>110.51</v>
      </c>
      <c r="K483" s="2">
        <v>84.49</v>
      </c>
      <c r="L483" t="s">
        <v>44</v>
      </c>
    </row>
    <row r="484" spans="1:12" x14ac:dyDescent="0.35">
      <c r="A484" t="s">
        <v>752</v>
      </c>
      <c r="B484">
        <v>45484</v>
      </c>
      <c r="C484" t="s">
        <v>234</v>
      </c>
      <c r="D484" t="s">
        <v>14</v>
      </c>
      <c r="E484" t="s">
        <v>33</v>
      </c>
      <c r="F484" t="s">
        <v>92</v>
      </c>
      <c r="G484">
        <v>1</v>
      </c>
      <c r="H484" s="2">
        <v>84</v>
      </c>
      <c r="I484" s="2">
        <v>84</v>
      </c>
      <c r="J484" s="2">
        <v>61.56</v>
      </c>
      <c r="K484" s="2">
        <v>22.44</v>
      </c>
      <c r="L484" t="s">
        <v>44</v>
      </c>
    </row>
    <row r="485" spans="1:12" x14ac:dyDescent="0.35">
      <c r="A485" t="s">
        <v>753</v>
      </c>
      <c r="B485">
        <v>45509</v>
      </c>
      <c r="C485" t="s">
        <v>142</v>
      </c>
      <c r="D485" t="s">
        <v>14</v>
      </c>
      <c r="E485" t="s">
        <v>29</v>
      </c>
      <c r="F485" t="s">
        <v>30</v>
      </c>
      <c r="G485">
        <v>2</v>
      </c>
      <c r="H485" s="2">
        <v>58</v>
      </c>
      <c r="I485" s="2">
        <v>116</v>
      </c>
      <c r="J485" s="2">
        <v>64.819999999999993</v>
      </c>
      <c r="K485" s="2">
        <v>51.18</v>
      </c>
      <c r="L485" t="s">
        <v>21</v>
      </c>
    </row>
    <row r="486" spans="1:12" x14ac:dyDescent="0.35">
      <c r="A486" t="s">
        <v>754</v>
      </c>
      <c r="B486">
        <v>45408</v>
      </c>
      <c r="C486" t="s">
        <v>416</v>
      </c>
      <c r="D486" t="s">
        <v>28</v>
      </c>
      <c r="E486" t="s">
        <v>33</v>
      </c>
      <c r="F486" t="s">
        <v>55</v>
      </c>
      <c r="G486">
        <v>1</v>
      </c>
      <c r="H486" s="2">
        <v>16</v>
      </c>
      <c r="I486" s="2">
        <v>16</v>
      </c>
      <c r="J486" s="2">
        <v>11.97</v>
      </c>
      <c r="K486" s="2">
        <v>4.03</v>
      </c>
      <c r="L486" t="s">
        <v>35</v>
      </c>
    </row>
    <row r="487" spans="1:12" x14ac:dyDescent="0.35">
      <c r="A487" t="s">
        <v>755</v>
      </c>
      <c r="B487">
        <v>45420</v>
      </c>
      <c r="C487" t="s">
        <v>428</v>
      </c>
      <c r="D487" t="s">
        <v>42</v>
      </c>
      <c r="E487" t="s">
        <v>38</v>
      </c>
      <c r="F487" t="s">
        <v>52</v>
      </c>
      <c r="G487">
        <v>5</v>
      </c>
      <c r="H487" s="2">
        <v>30</v>
      </c>
      <c r="I487" s="2">
        <v>150</v>
      </c>
      <c r="J487" s="2">
        <v>106.09</v>
      </c>
      <c r="K487" s="2">
        <v>43.91</v>
      </c>
      <c r="L487" t="s">
        <v>21</v>
      </c>
    </row>
    <row r="488" spans="1:12" x14ac:dyDescent="0.35">
      <c r="A488" t="s">
        <v>756</v>
      </c>
      <c r="B488">
        <v>45522</v>
      </c>
      <c r="C488" t="s">
        <v>757</v>
      </c>
      <c r="D488" t="s">
        <v>14</v>
      </c>
      <c r="E488" t="s">
        <v>33</v>
      </c>
      <c r="F488" t="s">
        <v>92</v>
      </c>
      <c r="G488">
        <v>1</v>
      </c>
      <c r="H488" s="2">
        <v>42</v>
      </c>
      <c r="I488" s="2">
        <v>42</v>
      </c>
      <c r="J488" s="2">
        <v>24.02</v>
      </c>
      <c r="K488" s="2">
        <v>17.98</v>
      </c>
      <c r="L488" t="s">
        <v>44</v>
      </c>
    </row>
    <row r="489" spans="1:12" x14ac:dyDescent="0.35">
      <c r="A489" t="s">
        <v>758</v>
      </c>
      <c r="B489">
        <v>45568</v>
      </c>
      <c r="C489" t="s">
        <v>759</v>
      </c>
      <c r="D489" t="s">
        <v>28</v>
      </c>
      <c r="E489" t="s">
        <v>33</v>
      </c>
      <c r="F489" t="s">
        <v>92</v>
      </c>
      <c r="G489">
        <v>4</v>
      </c>
      <c r="H489" s="2">
        <v>35</v>
      </c>
      <c r="I489" s="2">
        <v>140</v>
      </c>
      <c r="J489" s="2">
        <v>92.82</v>
      </c>
      <c r="K489" s="2">
        <v>47.18</v>
      </c>
      <c r="L489" t="s">
        <v>17</v>
      </c>
    </row>
    <row r="490" spans="1:12" x14ac:dyDescent="0.35">
      <c r="A490" t="s">
        <v>760</v>
      </c>
      <c r="B490">
        <v>45423</v>
      </c>
      <c r="C490" t="s">
        <v>46</v>
      </c>
      <c r="D490" t="s">
        <v>28</v>
      </c>
      <c r="E490" t="s">
        <v>33</v>
      </c>
      <c r="F490" t="s">
        <v>55</v>
      </c>
      <c r="G490">
        <v>1</v>
      </c>
      <c r="H490" s="2">
        <v>11</v>
      </c>
      <c r="I490" s="2">
        <v>11</v>
      </c>
      <c r="J490" s="2">
        <v>5.98</v>
      </c>
      <c r="K490" s="2">
        <v>5.0199999999999996</v>
      </c>
      <c r="L490" t="s">
        <v>17</v>
      </c>
    </row>
    <row r="491" spans="1:12" x14ac:dyDescent="0.35">
      <c r="A491" t="s">
        <v>761</v>
      </c>
      <c r="B491">
        <v>45479</v>
      </c>
      <c r="C491" t="s">
        <v>762</v>
      </c>
      <c r="D491" t="s">
        <v>28</v>
      </c>
      <c r="E491" t="s">
        <v>33</v>
      </c>
      <c r="F491" t="s">
        <v>55</v>
      </c>
      <c r="G491">
        <v>4</v>
      </c>
      <c r="H491" s="2">
        <v>13</v>
      </c>
      <c r="I491" s="2">
        <v>52</v>
      </c>
      <c r="J491" s="2">
        <v>37.700000000000003</v>
      </c>
      <c r="K491" s="2">
        <v>14.3</v>
      </c>
      <c r="L491" t="s">
        <v>44</v>
      </c>
    </row>
    <row r="492" spans="1:12" x14ac:dyDescent="0.35">
      <c r="A492" t="s">
        <v>763</v>
      </c>
      <c r="B492">
        <v>45378</v>
      </c>
      <c r="C492" t="s">
        <v>23</v>
      </c>
      <c r="D492" t="s">
        <v>28</v>
      </c>
      <c r="E492" t="s">
        <v>29</v>
      </c>
      <c r="F492" t="s">
        <v>75</v>
      </c>
      <c r="G492">
        <v>5</v>
      </c>
      <c r="H492" s="2">
        <v>99</v>
      </c>
      <c r="I492" s="2">
        <v>495</v>
      </c>
      <c r="J492" s="2">
        <v>257.95999999999998</v>
      </c>
      <c r="K492" s="2">
        <v>237.04</v>
      </c>
      <c r="L492" t="s">
        <v>21</v>
      </c>
    </row>
    <row r="493" spans="1:12" x14ac:dyDescent="0.35">
      <c r="A493" t="s">
        <v>764</v>
      </c>
      <c r="B493">
        <v>45446</v>
      </c>
      <c r="C493" t="s">
        <v>138</v>
      </c>
      <c r="D493" t="s">
        <v>24</v>
      </c>
      <c r="E493" t="s">
        <v>38</v>
      </c>
      <c r="F493" t="s">
        <v>39</v>
      </c>
      <c r="G493">
        <v>5</v>
      </c>
      <c r="H493" s="2">
        <v>21</v>
      </c>
      <c r="I493" s="2">
        <v>105</v>
      </c>
      <c r="J493" s="2">
        <v>77.599999999999994</v>
      </c>
      <c r="K493" s="2">
        <v>27.4</v>
      </c>
      <c r="L493" t="s">
        <v>44</v>
      </c>
    </row>
    <row r="494" spans="1:12" x14ac:dyDescent="0.35">
      <c r="A494" t="s">
        <v>765</v>
      </c>
      <c r="B494">
        <v>45561</v>
      </c>
      <c r="C494" t="s">
        <v>766</v>
      </c>
      <c r="D494" t="s">
        <v>42</v>
      </c>
      <c r="E494" t="s">
        <v>29</v>
      </c>
      <c r="F494" t="s">
        <v>75</v>
      </c>
      <c r="G494">
        <v>2</v>
      </c>
      <c r="H494" s="2">
        <v>54</v>
      </c>
      <c r="I494" s="2">
        <v>108</v>
      </c>
      <c r="J494" s="2">
        <v>57.51</v>
      </c>
      <c r="K494" s="2">
        <v>50.49</v>
      </c>
      <c r="L494" t="s">
        <v>35</v>
      </c>
    </row>
    <row r="495" spans="1:12" x14ac:dyDescent="0.35">
      <c r="A495" t="s">
        <v>767</v>
      </c>
      <c r="B495">
        <v>45467</v>
      </c>
      <c r="C495" t="s">
        <v>424</v>
      </c>
      <c r="D495" t="s">
        <v>28</v>
      </c>
      <c r="E495" t="s">
        <v>33</v>
      </c>
      <c r="F495" t="s">
        <v>34</v>
      </c>
      <c r="G495">
        <v>5</v>
      </c>
      <c r="H495" s="2">
        <v>33</v>
      </c>
      <c r="I495" s="2">
        <v>165</v>
      </c>
      <c r="J495" s="2">
        <v>113.07</v>
      </c>
      <c r="K495" s="2">
        <v>51.93</v>
      </c>
      <c r="L495" t="s">
        <v>44</v>
      </c>
    </row>
    <row r="496" spans="1:12" x14ac:dyDescent="0.35">
      <c r="A496" t="s">
        <v>768</v>
      </c>
      <c r="B496">
        <v>45566</v>
      </c>
      <c r="C496" t="s">
        <v>749</v>
      </c>
      <c r="D496" t="s">
        <v>24</v>
      </c>
      <c r="E496" t="s">
        <v>15</v>
      </c>
      <c r="F496" t="s">
        <v>25</v>
      </c>
      <c r="G496">
        <v>4</v>
      </c>
      <c r="H496" s="2">
        <v>28</v>
      </c>
      <c r="I496" s="2">
        <v>112</v>
      </c>
      <c r="J496" s="2">
        <v>59.04</v>
      </c>
      <c r="K496" s="2">
        <v>52.96</v>
      </c>
      <c r="L496" t="s">
        <v>17</v>
      </c>
    </row>
    <row r="497" spans="1:12" x14ac:dyDescent="0.35">
      <c r="A497" t="s">
        <v>769</v>
      </c>
      <c r="B497">
        <v>45343</v>
      </c>
      <c r="C497" t="s">
        <v>643</v>
      </c>
      <c r="D497" t="s">
        <v>42</v>
      </c>
      <c r="E497" t="s">
        <v>33</v>
      </c>
      <c r="F497" t="s">
        <v>92</v>
      </c>
      <c r="G497">
        <v>5</v>
      </c>
      <c r="H497" s="2">
        <v>64</v>
      </c>
      <c r="I497" s="2">
        <v>320</v>
      </c>
      <c r="J497" s="2">
        <v>197.36</v>
      </c>
      <c r="K497" s="2">
        <v>122.64</v>
      </c>
      <c r="L497" t="s">
        <v>35</v>
      </c>
    </row>
    <row r="498" spans="1:12" x14ac:dyDescent="0.35">
      <c r="A498" t="s">
        <v>770</v>
      </c>
      <c r="B498">
        <v>45340</v>
      </c>
      <c r="C498" t="s">
        <v>165</v>
      </c>
      <c r="D498" t="s">
        <v>42</v>
      </c>
      <c r="E498" t="s">
        <v>33</v>
      </c>
      <c r="F498" t="s">
        <v>55</v>
      </c>
      <c r="G498">
        <v>5</v>
      </c>
      <c r="H498" s="2">
        <v>99</v>
      </c>
      <c r="I498" s="2">
        <v>495</v>
      </c>
      <c r="J498" s="2">
        <v>282.38</v>
      </c>
      <c r="K498" s="2">
        <v>212.62</v>
      </c>
      <c r="L498" t="s">
        <v>21</v>
      </c>
    </row>
    <row r="499" spans="1:12" x14ac:dyDescent="0.35">
      <c r="A499" t="s">
        <v>771</v>
      </c>
      <c r="B499">
        <v>45311</v>
      </c>
      <c r="C499" t="s">
        <v>270</v>
      </c>
      <c r="D499" t="s">
        <v>24</v>
      </c>
      <c r="E499" t="s">
        <v>38</v>
      </c>
      <c r="F499" t="s">
        <v>39</v>
      </c>
      <c r="G499">
        <v>5</v>
      </c>
      <c r="H499" s="2">
        <v>94</v>
      </c>
      <c r="I499" s="2">
        <v>470</v>
      </c>
      <c r="J499" s="2">
        <v>371.5</v>
      </c>
      <c r="K499" s="2">
        <v>98.5</v>
      </c>
      <c r="L499" t="s">
        <v>44</v>
      </c>
    </row>
    <row r="500" spans="1:12" x14ac:dyDescent="0.35">
      <c r="A500" t="s">
        <v>772</v>
      </c>
      <c r="B500">
        <v>45545</v>
      </c>
      <c r="C500" t="s">
        <v>704</v>
      </c>
      <c r="D500" t="s">
        <v>42</v>
      </c>
      <c r="E500" t="s">
        <v>33</v>
      </c>
      <c r="F500" t="s">
        <v>55</v>
      </c>
      <c r="G500">
        <v>5</v>
      </c>
      <c r="H500" s="2">
        <v>49</v>
      </c>
      <c r="I500" s="2">
        <v>245</v>
      </c>
      <c r="J500" s="2">
        <v>138.46</v>
      </c>
      <c r="K500" s="2">
        <v>106.54</v>
      </c>
      <c r="L500" t="s">
        <v>44</v>
      </c>
    </row>
    <row r="501" spans="1:12" x14ac:dyDescent="0.35">
      <c r="A501" t="s">
        <v>773</v>
      </c>
      <c r="B501">
        <v>45654</v>
      </c>
      <c r="C501" t="s">
        <v>234</v>
      </c>
      <c r="D501" t="s">
        <v>28</v>
      </c>
      <c r="E501" t="s">
        <v>33</v>
      </c>
      <c r="F501" t="s">
        <v>55</v>
      </c>
      <c r="G501">
        <v>2</v>
      </c>
      <c r="H501" s="2">
        <v>78</v>
      </c>
      <c r="I501" s="2">
        <v>156</v>
      </c>
      <c r="J501" s="2">
        <v>120.35</v>
      </c>
      <c r="K501" s="2">
        <v>35.65</v>
      </c>
      <c r="L501" t="s">
        <v>35</v>
      </c>
    </row>
    <row r="502" spans="1:12" x14ac:dyDescent="0.35">
      <c r="A502" t="s">
        <v>774</v>
      </c>
      <c r="B502">
        <v>45511</v>
      </c>
      <c r="C502" t="s">
        <v>49</v>
      </c>
      <c r="D502" t="s">
        <v>14</v>
      </c>
      <c r="E502" t="s">
        <v>33</v>
      </c>
      <c r="F502" t="s">
        <v>34</v>
      </c>
      <c r="G502">
        <v>1</v>
      </c>
      <c r="H502" s="2">
        <v>77</v>
      </c>
      <c r="I502" s="2">
        <v>77</v>
      </c>
      <c r="J502" s="2">
        <v>53.47</v>
      </c>
      <c r="K502" s="2">
        <v>23.53</v>
      </c>
      <c r="L502" t="s">
        <v>44</v>
      </c>
    </row>
    <row r="503" spans="1:12" x14ac:dyDescent="0.35">
      <c r="A503" t="s">
        <v>775</v>
      </c>
      <c r="B503">
        <v>45642</v>
      </c>
      <c r="C503" t="s">
        <v>222</v>
      </c>
      <c r="D503" t="s">
        <v>42</v>
      </c>
      <c r="E503" t="s">
        <v>33</v>
      </c>
      <c r="F503" t="s">
        <v>55</v>
      </c>
      <c r="G503">
        <v>1</v>
      </c>
      <c r="H503" s="2">
        <v>58</v>
      </c>
      <c r="I503" s="2">
        <v>58</v>
      </c>
      <c r="J503" s="2">
        <v>44.3</v>
      </c>
      <c r="K503" s="2">
        <v>13.7</v>
      </c>
      <c r="L503" t="s">
        <v>17</v>
      </c>
    </row>
    <row r="504" spans="1:12" x14ac:dyDescent="0.35">
      <c r="A504" t="s">
        <v>776</v>
      </c>
      <c r="B504">
        <v>45523</v>
      </c>
      <c r="C504" t="s">
        <v>163</v>
      </c>
      <c r="D504" t="s">
        <v>28</v>
      </c>
      <c r="E504" t="s">
        <v>33</v>
      </c>
      <c r="F504" t="s">
        <v>34</v>
      </c>
      <c r="G504">
        <v>3</v>
      </c>
      <c r="H504" s="2">
        <v>45</v>
      </c>
      <c r="I504" s="2">
        <v>135</v>
      </c>
      <c r="J504" s="2">
        <v>99.36</v>
      </c>
      <c r="K504" s="2">
        <v>35.64</v>
      </c>
      <c r="L504" t="s">
        <v>17</v>
      </c>
    </row>
    <row r="505" spans="1:12" x14ac:dyDescent="0.35">
      <c r="A505" t="s">
        <v>777</v>
      </c>
      <c r="B505">
        <v>45423</v>
      </c>
      <c r="C505" t="s">
        <v>778</v>
      </c>
      <c r="D505" t="s">
        <v>24</v>
      </c>
      <c r="E505" t="s">
        <v>15</v>
      </c>
      <c r="F505" t="s">
        <v>16</v>
      </c>
      <c r="G505">
        <v>2</v>
      </c>
      <c r="H505" s="2">
        <v>92</v>
      </c>
      <c r="I505" s="2">
        <v>184</v>
      </c>
      <c r="J505" s="2">
        <v>140.78</v>
      </c>
      <c r="K505" s="2">
        <v>43.22</v>
      </c>
      <c r="L505" t="s">
        <v>17</v>
      </c>
    </row>
    <row r="506" spans="1:12" x14ac:dyDescent="0.35">
      <c r="A506" t="s">
        <v>779</v>
      </c>
      <c r="B506">
        <v>45347</v>
      </c>
      <c r="C506" t="s">
        <v>373</v>
      </c>
      <c r="D506" t="s">
        <v>24</v>
      </c>
      <c r="E506" t="s">
        <v>29</v>
      </c>
      <c r="F506" t="s">
        <v>47</v>
      </c>
      <c r="G506">
        <v>2</v>
      </c>
      <c r="H506" s="2">
        <v>16</v>
      </c>
      <c r="I506" s="2">
        <v>32</v>
      </c>
      <c r="J506" s="2">
        <v>17.07</v>
      </c>
      <c r="K506" s="2">
        <v>14.93</v>
      </c>
      <c r="L506" t="s">
        <v>21</v>
      </c>
    </row>
    <row r="507" spans="1:12" x14ac:dyDescent="0.35">
      <c r="A507" t="s">
        <v>780</v>
      </c>
      <c r="B507">
        <v>45441</v>
      </c>
      <c r="C507" t="s">
        <v>781</v>
      </c>
      <c r="D507" t="s">
        <v>28</v>
      </c>
      <c r="E507" t="s">
        <v>38</v>
      </c>
      <c r="F507" t="s">
        <v>52</v>
      </c>
      <c r="G507">
        <v>1</v>
      </c>
      <c r="H507" s="2">
        <v>30</v>
      </c>
      <c r="I507" s="2">
        <v>30</v>
      </c>
      <c r="J507" s="2">
        <v>16.809999999999999</v>
      </c>
      <c r="K507" s="2">
        <v>13.19</v>
      </c>
      <c r="L507" t="s">
        <v>44</v>
      </c>
    </row>
    <row r="508" spans="1:12" x14ac:dyDescent="0.35">
      <c r="A508" t="s">
        <v>782</v>
      </c>
      <c r="B508">
        <v>45536</v>
      </c>
      <c r="C508" t="s">
        <v>783</v>
      </c>
      <c r="D508" t="s">
        <v>14</v>
      </c>
      <c r="E508" t="s">
        <v>33</v>
      </c>
      <c r="F508" t="s">
        <v>55</v>
      </c>
      <c r="G508">
        <v>1</v>
      </c>
      <c r="H508" s="2">
        <v>43</v>
      </c>
      <c r="I508" s="2">
        <v>43</v>
      </c>
      <c r="J508" s="2">
        <v>26.59</v>
      </c>
      <c r="K508" s="2">
        <v>16.41</v>
      </c>
      <c r="L508" t="s">
        <v>17</v>
      </c>
    </row>
    <row r="509" spans="1:12" x14ac:dyDescent="0.35">
      <c r="A509" t="s">
        <v>784</v>
      </c>
      <c r="B509">
        <v>45338</v>
      </c>
      <c r="C509" t="s">
        <v>103</v>
      </c>
      <c r="D509" t="s">
        <v>24</v>
      </c>
      <c r="E509" t="s">
        <v>29</v>
      </c>
      <c r="F509" t="s">
        <v>30</v>
      </c>
      <c r="G509">
        <v>4</v>
      </c>
      <c r="H509" s="2">
        <v>42</v>
      </c>
      <c r="I509" s="2">
        <v>168</v>
      </c>
      <c r="J509" s="2">
        <v>123.15</v>
      </c>
      <c r="K509" s="2">
        <v>44.85</v>
      </c>
      <c r="L509" t="s">
        <v>35</v>
      </c>
    </row>
    <row r="510" spans="1:12" x14ac:dyDescent="0.35">
      <c r="A510" t="s">
        <v>785</v>
      </c>
      <c r="B510">
        <v>45646</v>
      </c>
      <c r="C510" t="s">
        <v>459</v>
      </c>
      <c r="D510" t="s">
        <v>28</v>
      </c>
      <c r="E510" t="s">
        <v>38</v>
      </c>
      <c r="F510" t="s">
        <v>52</v>
      </c>
      <c r="G510">
        <v>3</v>
      </c>
      <c r="H510" s="2">
        <v>54</v>
      </c>
      <c r="I510" s="2">
        <v>162</v>
      </c>
      <c r="J510" s="2">
        <v>113.37</v>
      </c>
      <c r="K510" s="2">
        <v>48.63</v>
      </c>
      <c r="L510" t="s">
        <v>35</v>
      </c>
    </row>
    <row r="511" spans="1:12" x14ac:dyDescent="0.35">
      <c r="A511" t="s">
        <v>786</v>
      </c>
      <c r="B511">
        <v>45442</v>
      </c>
      <c r="C511" t="s">
        <v>466</v>
      </c>
      <c r="D511" t="s">
        <v>28</v>
      </c>
      <c r="E511" t="s">
        <v>29</v>
      </c>
      <c r="F511" t="s">
        <v>47</v>
      </c>
      <c r="G511">
        <v>5</v>
      </c>
      <c r="H511" s="2">
        <v>83</v>
      </c>
      <c r="I511" s="2">
        <v>415</v>
      </c>
      <c r="J511" s="2">
        <v>325.36</v>
      </c>
      <c r="K511" s="2">
        <v>89.64</v>
      </c>
      <c r="L511" t="s">
        <v>21</v>
      </c>
    </row>
    <row r="512" spans="1:12" x14ac:dyDescent="0.35">
      <c r="A512" t="s">
        <v>787</v>
      </c>
      <c r="B512">
        <v>45552</v>
      </c>
      <c r="C512" t="s">
        <v>298</v>
      </c>
      <c r="D512" t="s">
        <v>28</v>
      </c>
      <c r="E512" t="s">
        <v>15</v>
      </c>
      <c r="F512" t="s">
        <v>25</v>
      </c>
      <c r="G512">
        <v>2</v>
      </c>
      <c r="H512" s="2">
        <v>30</v>
      </c>
      <c r="I512" s="2">
        <v>60</v>
      </c>
      <c r="J512" s="2">
        <v>47.06</v>
      </c>
      <c r="K512" s="2">
        <v>12.94</v>
      </c>
      <c r="L512" t="s">
        <v>44</v>
      </c>
    </row>
    <row r="513" spans="1:12" x14ac:dyDescent="0.35">
      <c r="A513" t="s">
        <v>788</v>
      </c>
      <c r="B513">
        <v>45493</v>
      </c>
      <c r="C513" t="s">
        <v>548</v>
      </c>
      <c r="D513" t="s">
        <v>24</v>
      </c>
      <c r="E513" t="s">
        <v>33</v>
      </c>
      <c r="F513" t="s">
        <v>34</v>
      </c>
      <c r="G513">
        <v>5</v>
      </c>
      <c r="H513" s="2">
        <v>84</v>
      </c>
      <c r="I513" s="2">
        <v>420</v>
      </c>
      <c r="J513" s="2">
        <v>218.5</v>
      </c>
      <c r="K513" s="2">
        <v>201.5</v>
      </c>
      <c r="L513" t="s">
        <v>44</v>
      </c>
    </row>
    <row r="514" spans="1:12" x14ac:dyDescent="0.35">
      <c r="A514" t="s">
        <v>789</v>
      </c>
      <c r="B514">
        <v>45445</v>
      </c>
      <c r="C514" t="s">
        <v>286</v>
      </c>
      <c r="D514" t="s">
        <v>14</v>
      </c>
      <c r="E514" t="s">
        <v>15</v>
      </c>
      <c r="F514" t="s">
        <v>20</v>
      </c>
      <c r="G514">
        <v>3</v>
      </c>
      <c r="H514" s="2">
        <v>63</v>
      </c>
      <c r="I514" s="2">
        <v>189</v>
      </c>
      <c r="J514" s="2">
        <v>118.27</v>
      </c>
      <c r="K514" s="2">
        <v>70.73</v>
      </c>
      <c r="L514" t="s">
        <v>21</v>
      </c>
    </row>
    <row r="515" spans="1:12" x14ac:dyDescent="0.35">
      <c r="A515" t="s">
        <v>790</v>
      </c>
      <c r="B515">
        <v>45560</v>
      </c>
      <c r="C515" t="s">
        <v>590</v>
      </c>
      <c r="D515" t="s">
        <v>24</v>
      </c>
      <c r="E515" t="s">
        <v>15</v>
      </c>
      <c r="F515" t="s">
        <v>16</v>
      </c>
      <c r="G515">
        <v>2</v>
      </c>
      <c r="H515" s="2">
        <v>79</v>
      </c>
      <c r="I515" s="2">
        <v>158</v>
      </c>
      <c r="J515" s="2">
        <v>99.52</v>
      </c>
      <c r="K515" s="2">
        <v>58.48</v>
      </c>
      <c r="L515" t="s">
        <v>17</v>
      </c>
    </row>
    <row r="516" spans="1:12" x14ac:dyDescent="0.35">
      <c r="A516" t="s">
        <v>791</v>
      </c>
      <c r="B516">
        <v>45637</v>
      </c>
      <c r="C516" t="s">
        <v>792</v>
      </c>
      <c r="D516" t="s">
        <v>42</v>
      </c>
      <c r="E516" t="s">
        <v>33</v>
      </c>
      <c r="F516" t="s">
        <v>92</v>
      </c>
      <c r="G516">
        <v>3</v>
      </c>
      <c r="H516" s="2">
        <v>69</v>
      </c>
      <c r="I516" s="2">
        <v>207</v>
      </c>
      <c r="J516" s="2">
        <v>162.44999999999999</v>
      </c>
      <c r="K516" s="2">
        <v>44.55</v>
      </c>
      <c r="L516" t="s">
        <v>35</v>
      </c>
    </row>
    <row r="517" spans="1:12" x14ac:dyDescent="0.35">
      <c r="A517" t="s">
        <v>793</v>
      </c>
      <c r="B517">
        <v>45572</v>
      </c>
      <c r="C517" t="s">
        <v>224</v>
      </c>
      <c r="D517" t="s">
        <v>42</v>
      </c>
      <c r="E517" t="s">
        <v>29</v>
      </c>
      <c r="F517" t="s">
        <v>30</v>
      </c>
      <c r="G517">
        <v>3</v>
      </c>
      <c r="H517" s="2">
        <v>59</v>
      </c>
      <c r="I517" s="2">
        <v>177</v>
      </c>
      <c r="J517" s="2">
        <v>122.79</v>
      </c>
      <c r="K517" s="2">
        <v>54.21</v>
      </c>
      <c r="L517" t="s">
        <v>17</v>
      </c>
    </row>
    <row r="518" spans="1:12" x14ac:dyDescent="0.35">
      <c r="A518" t="s">
        <v>794</v>
      </c>
      <c r="B518">
        <v>45434</v>
      </c>
      <c r="C518" t="s">
        <v>505</v>
      </c>
      <c r="D518" t="s">
        <v>28</v>
      </c>
      <c r="E518" t="s">
        <v>29</v>
      </c>
      <c r="F518" t="s">
        <v>75</v>
      </c>
      <c r="G518">
        <v>4</v>
      </c>
      <c r="H518" s="2">
        <v>17</v>
      </c>
      <c r="I518" s="2">
        <v>68</v>
      </c>
      <c r="J518" s="2">
        <v>36.24</v>
      </c>
      <c r="K518" s="2">
        <v>31.76</v>
      </c>
      <c r="L518" t="s">
        <v>17</v>
      </c>
    </row>
    <row r="519" spans="1:12" x14ac:dyDescent="0.35">
      <c r="A519" t="s">
        <v>795</v>
      </c>
      <c r="B519">
        <v>45313</v>
      </c>
      <c r="C519" t="s">
        <v>796</v>
      </c>
      <c r="D519" t="s">
        <v>28</v>
      </c>
      <c r="E519" t="s">
        <v>15</v>
      </c>
      <c r="F519" t="s">
        <v>20</v>
      </c>
      <c r="G519">
        <v>3</v>
      </c>
      <c r="H519" s="2">
        <v>38</v>
      </c>
      <c r="I519" s="2">
        <v>114</v>
      </c>
      <c r="J519" s="2">
        <v>60.49</v>
      </c>
      <c r="K519" s="2">
        <v>53.51</v>
      </c>
      <c r="L519" t="s">
        <v>17</v>
      </c>
    </row>
    <row r="520" spans="1:12" x14ac:dyDescent="0.35">
      <c r="A520" t="s">
        <v>797</v>
      </c>
      <c r="B520">
        <v>45538</v>
      </c>
      <c r="C520" t="s">
        <v>245</v>
      </c>
      <c r="D520" t="s">
        <v>28</v>
      </c>
      <c r="E520" t="s">
        <v>29</v>
      </c>
      <c r="F520" t="s">
        <v>75</v>
      </c>
      <c r="G520">
        <v>1</v>
      </c>
      <c r="H520" s="2">
        <v>36</v>
      </c>
      <c r="I520" s="2">
        <v>36</v>
      </c>
      <c r="J520" s="2">
        <v>24.82</v>
      </c>
      <c r="K520" s="2">
        <v>11.18</v>
      </c>
      <c r="L520" t="s">
        <v>21</v>
      </c>
    </row>
    <row r="521" spans="1:12" x14ac:dyDescent="0.35">
      <c r="A521" t="s">
        <v>798</v>
      </c>
      <c r="B521">
        <v>45421</v>
      </c>
      <c r="C521" t="s">
        <v>187</v>
      </c>
      <c r="D521" t="s">
        <v>28</v>
      </c>
      <c r="E521" t="s">
        <v>33</v>
      </c>
      <c r="F521" t="s">
        <v>55</v>
      </c>
      <c r="G521">
        <v>4</v>
      </c>
      <c r="H521" s="2">
        <v>47</v>
      </c>
      <c r="I521" s="2">
        <v>188</v>
      </c>
      <c r="J521" s="2">
        <v>134.08000000000001</v>
      </c>
      <c r="K521" s="2">
        <v>53.92</v>
      </c>
      <c r="L521" t="s">
        <v>44</v>
      </c>
    </row>
    <row r="522" spans="1:12" x14ac:dyDescent="0.35">
      <c r="A522" t="s">
        <v>799</v>
      </c>
      <c r="B522">
        <v>45442</v>
      </c>
      <c r="C522" t="s">
        <v>447</v>
      </c>
      <c r="D522" t="s">
        <v>28</v>
      </c>
      <c r="E522" t="s">
        <v>38</v>
      </c>
      <c r="F522" t="s">
        <v>39</v>
      </c>
      <c r="G522">
        <v>4</v>
      </c>
      <c r="H522" s="2">
        <v>16</v>
      </c>
      <c r="I522" s="2">
        <v>64</v>
      </c>
      <c r="J522" s="2">
        <v>49.8</v>
      </c>
      <c r="K522" s="2">
        <v>14.2</v>
      </c>
      <c r="L522" t="s">
        <v>35</v>
      </c>
    </row>
    <row r="523" spans="1:12" x14ac:dyDescent="0.35">
      <c r="A523" t="s">
        <v>800</v>
      </c>
      <c r="B523">
        <v>45301</v>
      </c>
      <c r="C523" t="s">
        <v>466</v>
      </c>
      <c r="D523" t="s">
        <v>14</v>
      </c>
      <c r="E523" t="s">
        <v>29</v>
      </c>
      <c r="F523" t="s">
        <v>43</v>
      </c>
      <c r="G523">
        <v>3</v>
      </c>
      <c r="H523" s="2">
        <v>67</v>
      </c>
      <c r="I523" s="2">
        <v>201</v>
      </c>
      <c r="J523" s="2">
        <v>106.63</v>
      </c>
      <c r="K523" s="2">
        <v>94.37</v>
      </c>
      <c r="L523" t="s">
        <v>21</v>
      </c>
    </row>
    <row r="524" spans="1:12" x14ac:dyDescent="0.35">
      <c r="A524" t="s">
        <v>801</v>
      </c>
      <c r="B524">
        <v>45488</v>
      </c>
      <c r="C524" t="s">
        <v>236</v>
      </c>
      <c r="D524" t="s">
        <v>42</v>
      </c>
      <c r="E524" t="s">
        <v>33</v>
      </c>
      <c r="F524" t="s">
        <v>34</v>
      </c>
      <c r="G524">
        <v>4</v>
      </c>
      <c r="H524" s="2">
        <v>45</v>
      </c>
      <c r="I524" s="2">
        <v>180</v>
      </c>
      <c r="J524" s="2">
        <v>96.28</v>
      </c>
      <c r="K524" s="2">
        <v>83.72</v>
      </c>
      <c r="L524" t="s">
        <v>17</v>
      </c>
    </row>
    <row r="525" spans="1:12" x14ac:dyDescent="0.35">
      <c r="A525" t="s">
        <v>802</v>
      </c>
      <c r="B525">
        <v>45518</v>
      </c>
      <c r="C525" t="s">
        <v>159</v>
      </c>
      <c r="D525" t="s">
        <v>28</v>
      </c>
      <c r="E525" t="s">
        <v>33</v>
      </c>
      <c r="F525" t="s">
        <v>55</v>
      </c>
      <c r="G525">
        <v>4</v>
      </c>
      <c r="H525" s="2">
        <v>36</v>
      </c>
      <c r="I525" s="2">
        <v>144</v>
      </c>
      <c r="J525" s="2">
        <v>88.41</v>
      </c>
      <c r="K525" s="2">
        <v>55.59</v>
      </c>
      <c r="L525" t="s">
        <v>35</v>
      </c>
    </row>
    <row r="526" spans="1:12" x14ac:dyDescent="0.35">
      <c r="A526" t="s">
        <v>803</v>
      </c>
      <c r="B526">
        <v>45465</v>
      </c>
      <c r="C526" t="s">
        <v>402</v>
      </c>
      <c r="D526" t="s">
        <v>42</v>
      </c>
      <c r="E526" t="s">
        <v>15</v>
      </c>
      <c r="F526" t="s">
        <v>16</v>
      </c>
      <c r="G526">
        <v>2</v>
      </c>
      <c r="H526" s="2">
        <v>95</v>
      </c>
      <c r="I526" s="2">
        <v>190</v>
      </c>
      <c r="J526" s="2">
        <v>126.2</v>
      </c>
      <c r="K526" s="2">
        <v>63.8</v>
      </c>
      <c r="L526" t="s">
        <v>21</v>
      </c>
    </row>
    <row r="527" spans="1:12" x14ac:dyDescent="0.35">
      <c r="A527" t="s">
        <v>804</v>
      </c>
      <c r="B527">
        <v>45438</v>
      </c>
      <c r="C527" t="s">
        <v>805</v>
      </c>
      <c r="D527" t="s">
        <v>42</v>
      </c>
      <c r="E527" t="s">
        <v>15</v>
      </c>
      <c r="F527" t="s">
        <v>25</v>
      </c>
      <c r="G527">
        <v>4</v>
      </c>
      <c r="H527" s="2">
        <v>91</v>
      </c>
      <c r="I527" s="2">
        <v>364</v>
      </c>
      <c r="J527" s="2">
        <v>256.62</v>
      </c>
      <c r="K527" s="2">
        <v>107.38</v>
      </c>
      <c r="L527" t="s">
        <v>35</v>
      </c>
    </row>
    <row r="528" spans="1:12" x14ac:dyDescent="0.35">
      <c r="A528" t="s">
        <v>806</v>
      </c>
      <c r="B528">
        <v>45651</v>
      </c>
      <c r="C528" t="s">
        <v>184</v>
      </c>
      <c r="D528" t="s">
        <v>24</v>
      </c>
      <c r="E528" t="s">
        <v>38</v>
      </c>
      <c r="F528" t="s">
        <v>39</v>
      </c>
      <c r="G528">
        <v>3</v>
      </c>
      <c r="H528" s="2">
        <v>67</v>
      </c>
      <c r="I528" s="2">
        <v>201</v>
      </c>
      <c r="J528" s="2">
        <v>124.94</v>
      </c>
      <c r="K528" s="2">
        <v>76.06</v>
      </c>
      <c r="L528" t="s">
        <v>17</v>
      </c>
    </row>
    <row r="529" spans="1:12" x14ac:dyDescent="0.35">
      <c r="A529" t="s">
        <v>807</v>
      </c>
      <c r="B529">
        <v>45408</v>
      </c>
      <c r="C529" t="s">
        <v>189</v>
      </c>
      <c r="D529" t="s">
        <v>28</v>
      </c>
      <c r="E529" t="s">
        <v>29</v>
      </c>
      <c r="F529" t="s">
        <v>47</v>
      </c>
      <c r="G529">
        <v>5</v>
      </c>
      <c r="H529" s="2">
        <v>16</v>
      </c>
      <c r="I529" s="2">
        <v>80</v>
      </c>
      <c r="J529" s="2">
        <v>63.38</v>
      </c>
      <c r="K529" s="2">
        <v>16.62</v>
      </c>
      <c r="L529" t="s">
        <v>44</v>
      </c>
    </row>
    <row r="530" spans="1:12" x14ac:dyDescent="0.35">
      <c r="A530" t="s">
        <v>808</v>
      </c>
      <c r="B530">
        <v>45466</v>
      </c>
      <c r="C530" t="s">
        <v>643</v>
      </c>
      <c r="D530" t="s">
        <v>14</v>
      </c>
      <c r="E530" t="s">
        <v>15</v>
      </c>
      <c r="F530" t="s">
        <v>20</v>
      </c>
      <c r="G530">
        <v>3</v>
      </c>
      <c r="H530" s="2">
        <v>48</v>
      </c>
      <c r="I530" s="2">
        <v>144</v>
      </c>
      <c r="J530" s="2">
        <v>104.67</v>
      </c>
      <c r="K530" s="2">
        <v>39.33</v>
      </c>
      <c r="L530" t="s">
        <v>21</v>
      </c>
    </row>
    <row r="531" spans="1:12" x14ac:dyDescent="0.35">
      <c r="A531" t="s">
        <v>809</v>
      </c>
      <c r="B531">
        <v>45496</v>
      </c>
      <c r="C531" t="s">
        <v>810</v>
      </c>
      <c r="D531" t="s">
        <v>24</v>
      </c>
      <c r="E531" t="s">
        <v>38</v>
      </c>
      <c r="F531" t="s">
        <v>39</v>
      </c>
      <c r="G531">
        <v>4</v>
      </c>
      <c r="H531" s="2">
        <v>91</v>
      </c>
      <c r="I531" s="2">
        <v>364</v>
      </c>
      <c r="J531" s="2">
        <v>223.33</v>
      </c>
      <c r="K531" s="2">
        <v>140.66999999999999</v>
      </c>
      <c r="L531" t="s">
        <v>35</v>
      </c>
    </row>
    <row r="532" spans="1:12" x14ac:dyDescent="0.35">
      <c r="A532" t="s">
        <v>811</v>
      </c>
      <c r="B532">
        <v>45638</v>
      </c>
      <c r="C532" t="s">
        <v>284</v>
      </c>
      <c r="D532" t="s">
        <v>42</v>
      </c>
      <c r="E532" t="s">
        <v>33</v>
      </c>
      <c r="F532" t="s">
        <v>34</v>
      </c>
      <c r="G532">
        <v>3</v>
      </c>
      <c r="H532" s="2">
        <v>81</v>
      </c>
      <c r="I532" s="2">
        <v>243</v>
      </c>
      <c r="J532" s="2">
        <v>162.46</v>
      </c>
      <c r="K532" s="2">
        <v>80.540000000000006</v>
      </c>
      <c r="L532" t="s">
        <v>21</v>
      </c>
    </row>
    <row r="533" spans="1:12" x14ac:dyDescent="0.35">
      <c r="A533" t="s">
        <v>812</v>
      </c>
      <c r="B533">
        <v>45470</v>
      </c>
      <c r="C533" t="s">
        <v>95</v>
      </c>
      <c r="D533" t="s">
        <v>14</v>
      </c>
      <c r="E533" t="s">
        <v>38</v>
      </c>
      <c r="F533" t="s">
        <v>52</v>
      </c>
      <c r="G533">
        <v>5</v>
      </c>
      <c r="H533" s="2">
        <v>95</v>
      </c>
      <c r="I533" s="2">
        <v>475</v>
      </c>
      <c r="J533" s="2">
        <v>249.89</v>
      </c>
      <c r="K533" s="2">
        <v>225.11</v>
      </c>
      <c r="L533" t="s">
        <v>35</v>
      </c>
    </row>
    <row r="534" spans="1:12" x14ac:dyDescent="0.35">
      <c r="A534" t="s">
        <v>813</v>
      </c>
      <c r="B534">
        <v>45461</v>
      </c>
      <c r="C534" t="s">
        <v>112</v>
      </c>
      <c r="D534" t="s">
        <v>28</v>
      </c>
      <c r="E534" t="s">
        <v>38</v>
      </c>
      <c r="F534" t="s">
        <v>52</v>
      </c>
      <c r="G534">
        <v>4</v>
      </c>
      <c r="H534" s="2">
        <v>74</v>
      </c>
      <c r="I534" s="2">
        <v>296</v>
      </c>
      <c r="J534" s="2">
        <v>219.78</v>
      </c>
      <c r="K534" s="2">
        <v>76.22</v>
      </c>
      <c r="L534" t="s">
        <v>35</v>
      </c>
    </row>
    <row r="535" spans="1:12" x14ac:dyDescent="0.35">
      <c r="A535" t="s">
        <v>814</v>
      </c>
      <c r="B535">
        <v>45415</v>
      </c>
      <c r="C535" t="s">
        <v>116</v>
      </c>
      <c r="D535" t="s">
        <v>24</v>
      </c>
      <c r="E535" t="s">
        <v>38</v>
      </c>
      <c r="F535" t="s">
        <v>58</v>
      </c>
      <c r="G535">
        <v>2</v>
      </c>
      <c r="H535" s="2">
        <v>75</v>
      </c>
      <c r="I535" s="2">
        <v>150</v>
      </c>
      <c r="J535" s="2">
        <v>84.48</v>
      </c>
      <c r="K535" s="2">
        <v>65.52</v>
      </c>
      <c r="L535" t="s">
        <v>35</v>
      </c>
    </row>
    <row r="536" spans="1:12" x14ac:dyDescent="0.35">
      <c r="A536" t="s">
        <v>815</v>
      </c>
      <c r="B536">
        <v>45562</v>
      </c>
      <c r="C536" t="s">
        <v>816</v>
      </c>
      <c r="D536" t="s">
        <v>28</v>
      </c>
      <c r="E536" t="s">
        <v>38</v>
      </c>
      <c r="F536" t="s">
        <v>58</v>
      </c>
      <c r="G536">
        <v>1</v>
      </c>
      <c r="H536" s="2">
        <v>15</v>
      </c>
      <c r="I536" s="2">
        <v>15</v>
      </c>
      <c r="J536" s="2">
        <v>9.33</v>
      </c>
      <c r="K536" s="2">
        <v>5.67</v>
      </c>
      <c r="L536" t="s">
        <v>21</v>
      </c>
    </row>
    <row r="537" spans="1:12" x14ac:dyDescent="0.35">
      <c r="A537" t="s">
        <v>817</v>
      </c>
      <c r="B537">
        <v>45527</v>
      </c>
      <c r="C537" t="s">
        <v>766</v>
      </c>
      <c r="D537" t="s">
        <v>42</v>
      </c>
      <c r="E537" t="s">
        <v>29</v>
      </c>
      <c r="F537" t="s">
        <v>47</v>
      </c>
      <c r="G537">
        <v>4</v>
      </c>
      <c r="H537" s="2">
        <v>28</v>
      </c>
      <c r="I537" s="2">
        <v>112</v>
      </c>
      <c r="J537" s="2">
        <v>82.65</v>
      </c>
      <c r="K537" s="2">
        <v>29.35</v>
      </c>
      <c r="L537" t="s">
        <v>17</v>
      </c>
    </row>
    <row r="538" spans="1:12" x14ac:dyDescent="0.35">
      <c r="A538" t="s">
        <v>818</v>
      </c>
      <c r="B538">
        <v>45547</v>
      </c>
      <c r="C538" t="s">
        <v>216</v>
      </c>
      <c r="D538" t="s">
        <v>14</v>
      </c>
      <c r="E538" t="s">
        <v>15</v>
      </c>
      <c r="F538" t="s">
        <v>25</v>
      </c>
      <c r="G538">
        <v>4</v>
      </c>
      <c r="H538" s="2">
        <v>16</v>
      </c>
      <c r="I538" s="2">
        <v>64</v>
      </c>
      <c r="J538" s="2">
        <v>43.31</v>
      </c>
      <c r="K538" s="2">
        <v>20.69</v>
      </c>
      <c r="L538" t="s">
        <v>44</v>
      </c>
    </row>
    <row r="539" spans="1:12" x14ac:dyDescent="0.35">
      <c r="A539" t="s">
        <v>819</v>
      </c>
      <c r="B539">
        <v>45536</v>
      </c>
      <c r="C539" t="s">
        <v>354</v>
      </c>
      <c r="D539" t="s">
        <v>14</v>
      </c>
      <c r="E539" t="s">
        <v>15</v>
      </c>
      <c r="F539" t="s">
        <v>16</v>
      </c>
      <c r="G539">
        <v>3</v>
      </c>
      <c r="H539" s="2">
        <v>44</v>
      </c>
      <c r="I539" s="2">
        <v>132</v>
      </c>
      <c r="J539" s="2">
        <v>92.11</v>
      </c>
      <c r="K539" s="2">
        <v>39.89</v>
      </c>
      <c r="L539" t="s">
        <v>21</v>
      </c>
    </row>
    <row r="540" spans="1:12" x14ac:dyDescent="0.35">
      <c r="A540" t="s">
        <v>820</v>
      </c>
      <c r="B540">
        <v>45532</v>
      </c>
      <c r="C540" t="s">
        <v>414</v>
      </c>
      <c r="D540" t="s">
        <v>24</v>
      </c>
      <c r="E540" t="s">
        <v>29</v>
      </c>
      <c r="F540" t="s">
        <v>43</v>
      </c>
      <c r="G540">
        <v>3</v>
      </c>
      <c r="H540" s="2">
        <v>63</v>
      </c>
      <c r="I540" s="2">
        <v>189</v>
      </c>
      <c r="J540" s="2">
        <v>132.08000000000001</v>
      </c>
      <c r="K540" s="2">
        <v>56.92</v>
      </c>
      <c r="L540" t="s">
        <v>35</v>
      </c>
    </row>
    <row r="541" spans="1:12" x14ac:dyDescent="0.35">
      <c r="A541" t="s">
        <v>821</v>
      </c>
      <c r="B541">
        <v>45489</v>
      </c>
      <c r="C541" t="s">
        <v>175</v>
      </c>
      <c r="D541" t="s">
        <v>14</v>
      </c>
      <c r="E541" t="s">
        <v>33</v>
      </c>
      <c r="F541" t="s">
        <v>92</v>
      </c>
      <c r="G541">
        <v>4</v>
      </c>
      <c r="H541" s="2">
        <v>39</v>
      </c>
      <c r="I541" s="2">
        <v>156</v>
      </c>
      <c r="J541" s="2">
        <v>94.18</v>
      </c>
      <c r="K541" s="2">
        <v>61.82</v>
      </c>
      <c r="L541" t="s">
        <v>17</v>
      </c>
    </row>
    <row r="542" spans="1:12" x14ac:dyDescent="0.35">
      <c r="A542" t="s">
        <v>822</v>
      </c>
      <c r="B542">
        <v>45416</v>
      </c>
      <c r="C542" t="s">
        <v>122</v>
      </c>
      <c r="D542" t="s">
        <v>42</v>
      </c>
      <c r="E542" t="s">
        <v>15</v>
      </c>
      <c r="F542" t="s">
        <v>25</v>
      </c>
      <c r="G542">
        <v>4</v>
      </c>
      <c r="H542" s="2">
        <v>28</v>
      </c>
      <c r="I542" s="2">
        <v>112</v>
      </c>
      <c r="J542" s="2">
        <v>88.25</v>
      </c>
      <c r="K542" s="2">
        <v>23.75</v>
      </c>
      <c r="L542" t="s">
        <v>35</v>
      </c>
    </row>
    <row r="543" spans="1:12" x14ac:dyDescent="0.35">
      <c r="A543" t="s">
        <v>823</v>
      </c>
      <c r="B543">
        <v>45475</v>
      </c>
      <c r="C543" t="s">
        <v>710</v>
      </c>
      <c r="D543" t="s">
        <v>24</v>
      </c>
      <c r="E543" t="s">
        <v>33</v>
      </c>
      <c r="F543" t="s">
        <v>55</v>
      </c>
      <c r="G543">
        <v>1</v>
      </c>
      <c r="H543" s="2">
        <v>74</v>
      </c>
      <c r="I543" s="2">
        <v>74</v>
      </c>
      <c r="J543" s="2">
        <v>43.62</v>
      </c>
      <c r="K543" s="2">
        <v>30.38</v>
      </c>
      <c r="L543" t="s">
        <v>35</v>
      </c>
    </row>
    <row r="544" spans="1:12" x14ac:dyDescent="0.35">
      <c r="A544" t="s">
        <v>824</v>
      </c>
      <c r="B544">
        <v>45469</v>
      </c>
      <c r="C544" t="s">
        <v>286</v>
      </c>
      <c r="D544" t="s">
        <v>24</v>
      </c>
      <c r="E544" t="s">
        <v>33</v>
      </c>
      <c r="F544" t="s">
        <v>34</v>
      </c>
      <c r="G544">
        <v>2</v>
      </c>
      <c r="H544" s="2">
        <v>84</v>
      </c>
      <c r="I544" s="2">
        <v>168</v>
      </c>
      <c r="J544" s="2">
        <v>119.55</v>
      </c>
      <c r="K544" s="2">
        <v>48.45</v>
      </c>
      <c r="L544" t="s">
        <v>44</v>
      </c>
    </row>
    <row r="545" spans="1:12" x14ac:dyDescent="0.35">
      <c r="A545" t="s">
        <v>825</v>
      </c>
      <c r="B545">
        <v>45297</v>
      </c>
      <c r="C545" t="s">
        <v>412</v>
      </c>
      <c r="D545" t="s">
        <v>28</v>
      </c>
      <c r="E545" t="s">
        <v>15</v>
      </c>
      <c r="F545" t="s">
        <v>20</v>
      </c>
      <c r="G545">
        <v>4</v>
      </c>
      <c r="H545" s="2">
        <v>27</v>
      </c>
      <c r="I545" s="2">
        <v>108</v>
      </c>
      <c r="J545" s="2">
        <v>76.81</v>
      </c>
      <c r="K545" s="2">
        <v>31.19</v>
      </c>
      <c r="L545" t="s">
        <v>21</v>
      </c>
    </row>
    <row r="546" spans="1:12" x14ac:dyDescent="0.35">
      <c r="A546" t="s">
        <v>826</v>
      </c>
      <c r="B546">
        <v>45462</v>
      </c>
      <c r="C546" t="s">
        <v>302</v>
      </c>
      <c r="D546" t="s">
        <v>42</v>
      </c>
      <c r="E546" t="s">
        <v>33</v>
      </c>
      <c r="F546" t="s">
        <v>92</v>
      </c>
      <c r="G546">
        <v>4</v>
      </c>
      <c r="H546" s="2">
        <v>29</v>
      </c>
      <c r="I546" s="2">
        <v>116</v>
      </c>
      <c r="J546" s="2">
        <v>58.38</v>
      </c>
      <c r="K546" s="2">
        <v>57.62</v>
      </c>
      <c r="L546" t="s">
        <v>21</v>
      </c>
    </row>
    <row r="547" spans="1:12" x14ac:dyDescent="0.35">
      <c r="A547" t="s">
        <v>827</v>
      </c>
      <c r="B547">
        <v>45520</v>
      </c>
      <c r="C547" t="s">
        <v>234</v>
      </c>
      <c r="D547" t="s">
        <v>24</v>
      </c>
      <c r="E547" t="s">
        <v>29</v>
      </c>
      <c r="F547" t="s">
        <v>30</v>
      </c>
      <c r="G547">
        <v>1</v>
      </c>
      <c r="H547" s="2">
        <v>56</v>
      </c>
      <c r="I547" s="2">
        <v>56</v>
      </c>
      <c r="J547" s="2">
        <v>30.03</v>
      </c>
      <c r="K547" s="2">
        <v>25.97</v>
      </c>
      <c r="L547" t="s">
        <v>35</v>
      </c>
    </row>
    <row r="548" spans="1:12" x14ac:dyDescent="0.35">
      <c r="A548" t="s">
        <v>828</v>
      </c>
      <c r="B548">
        <v>45401</v>
      </c>
      <c r="C548" t="s">
        <v>66</v>
      </c>
      <c r="D548" t="s">
        <v>28</v>
      </c>
      <c r="E548" t="s">
        <v>38</v>
      </c>
      <c r="F548" t="s">
        <v>52</v>
      </c>
      <c r="G548">
        <v>5</v>
      </c>
      <c r="H548" s="2">
        <v>79</v>
      </c>
      <c r="I548" s="2">
        <v>395</v>
      </c>
      <c r="J548" s="2">
        <v>301.29000000000002</v>
      </c>
      <c r="K548" s="2">
        <v>93.71</v>
      </c>
      <c r="L548" t="s">
        <v>21</v>
      </c>
    </row>
    <row r="549" spans="1:12" x14ac:dyDescent="0.35">
      <c r="A549" t="s">
        <v>829</v>
      </c>
      <c r="B549">
        <v>45471</v>
      </c>
      <c r="C549" t="s">
        <v>101</v>
      </c>
      <c r="D549" t="s">
        <v>24</v>
      </c>
      <c r="E549" t="s">
        <v>29</v>
      </c>
      <c r="F549" t="s">
        <v>30</v>
      </c>
      <c r="G549">
        <v>1</v>
      </c>
      <c r="H549" s="2">
        <v>56</v>
      </c>
      <c r="I549" s="2">
        <v>56</v>
      </c>
      <c r="J549" s="2">
        <v>32.299999999999997</v>
      </c>
      <c r="K549" s="2">
        <v>23.7</v>
      </c>
      <c r="L549" t="s">
        <v>21</v>
      </c>
    </row>
    <row r="550" spans="1:12" x14ac:dyDescent="0.35">
      <c r="A550" t="s">
        <v>830</v>
      </c>
      <c r="B550">
        <v>45457</v>
      </c>
      <c r="C550" t="s">
        <v>23</v>
      </c>
      <c r="D550" t="s">
        <v>28</v>
      </c>
      <c r="E550" t="s">
        <v>38</v>
      </c>
      <c r="F550" t="s">
        <v>58</v>
      </c>
      <c r="G550">
        <v>3</v>
      </c>
      <c r="H550" s="2">
        <v>73</v>
      </c>
      <c r="I550" s="2">
        <v>219</v>
      </c>
      <c r="J550" s="2">
        <v>122.97</v>
      </c>
      <c r="K550" s="2">
        <v>96.03</v>
      </c>
      <c r="L550" t="s">
        <v>17</v>
      </c>
    </row>
    <row r="551" spans="1:12" x14ac:dyDescent="0.35">
      <c r="A551" t="s">
        <v>831</v>
      </c>
      <c r="B551">
        <v>45538</v>
      </c>
      <c r="C551" t="s">
        <v>134</v>
      </c>
      <c r="D551" t="s">
        <v>28</v>
      </c>
      <c r="E551" t="s">
        <v>15</v>
      </c>
      <c r="F551" t="s">
        <v>16</v>
      </c>
      <c r="G551">
        <v>5</v>
      </c>
      <c r="H551" s="2">
        <v>63</v>
      </c>
      <c r="I551" s="2">
        <v>315</v>
      </c>
      <c r="J551" s="2">
        <v>245.76</v>
      </c>
      <c r="K551" s="2">
        <v>69.239999999999995</v>
      </c>
      <c r="L551" t="s">
        <v>17</v>
      </c>
    </row>
    <row r="552" spans="1:12" x14ac:dyDescent="0.35">
      <c r="A552" t="s">
        <v>832</v>
      </c>
      <c r="B552">
        <v>45537</v>
      </c>
      <c r="C552" t="s">
        <v>541</v>
      </c>
      <c r="D552" t="s">
        <v>24</v>
      </c>
      <c r="E552" t="s">
        <v>15</v>
      </c>
      <c r="F552" t="s">
        <v>16</v>
      </c>
      <c r="G552">
        <v>3</v>
      </c>
      <c r="H552" s="2">
        <v>53</v>
      </c>
      <c r="I552" s="2">
        <v>159</v>
      </c>
      <c r="J552" s="2">
        <v>92.7</v>
      </c>
      <c r="K552" s="2">
        <v>66.3</v>
      </c>
      <c r="L552" t="s">
        <v>35</v>
      </c>
    </row>
    <row r="553" spans="1:12" x14ac:dyDescent="0.35">
      <c r="A553" t="s">
        <v>833</v>
      </c>
      <c r="B553">
        <v>45434</v>
      </c>
      <c r="C553" t="s">
        <v>416</v>
      </c>
      <c r="D553" t="s">
        <v>14</v>
      </c>
      <c r="E553" t="s">
        <v>33</v>
      </c>
      <c r="F553" t="s">
        <v>92</v>
      </c>
      <c r="G553">
        <v>4</v>
      </c>
      <c r="H553" s="2">
        <v>43</v>
      </c>
      <c r="I553" s="2">
        <v>172</v>
      </c>
      <c r="J553" s="2">
        <v>114.12</v>
      </c>
      <c r="K553" s="2">
        <v>57.88</v>
      </c>
      <c r="L553" t="s">
        <v>17</v>
      </c>
    </row>
    <row r="554" spans="1:12" x14ac:dyDescent="0.35">
      <c r="A554" t="s">
        <v>834</v>
      </c>
      <c r="B554">
        <v>45516</v>
      </c>
      <c r="C554" t="s">
        <v>304</v>
      </c>
      <c r="D554" t="s">
        <v>14</v>
      </c>
      <c r="E554" t="s">
        <v>33</v>
      </c>
      <c r="F554" t="s">
        <v>92</v>
      </c>
      <c r="G554">
        <v>4</v>
      </c>
      <c r="H554" s="2">
        <v>59</v>
      </c>
      <c r="I554" s="2">
        <v>236</v>
      </c>
      <c r="J554" s="2">
        <v>162.02000000000001</v>
      </c>
      <c r="K554" s="2">
        <v>73.98</v>
      </c>
      <c r="L554" t="s">
        <v>17</v>
      </c>
    </row>
    <row r="555" spans="1:12" x14ac:dyDescent="0.35">
      <c r="A555" t="s">
        <v>835</v>
      </c>
      <c r="B555">
        <v>45397</v>
      </c>
      <c r="C555" t="s">
        <v>584</v>
      </c>
      <c r="D555" t="s">
        <v>24</v>
      </c>
      <c r="E555" t="s">
        <v>38</v>
      </c>
      <c r="F555" t="s">
        <v>58</v>
      </c>
      <c r="G555">
        <v>1</v>
      </c>
      <c r="H555" s="2">
        <v>99</v>
      </c>
      <c r="I555" s="2">
        <v>99</v>
      </c>
      <c r="J555" s="2">
        <v>53.4</v>
      </c>
      <c r="K555" s="2">
        <v>45.6</v>
      </c>
      <c r="L555" t="s">
        <v>17</v>
      </c>
    </row>
    <row r="556" spans="1:12" x14ac:dyDescent="0.35">
      <c r="A556" t="s">
        <v>836</v>
      </c>
      <c r="B556">
        <v>45322</v>
      </c>
      <c r="C556" t="s">
        <v>330</v>
      </c>
      <c r="D556" t="s">
        <v>28</v>
      </c>
      <c r="E556" t="s">
        <v>15</v>
      </c>
      <c r="F556" t="s">
        <v>20</v>
      </c>
      <c r="G556">
        <v>3</v>
      </c>
      <c r="H556" s="2">
        <v>27</v>
      </c>
      <c r="I556" s="2">
        <v>81</v>
      </c>
      <c r="J556" s="2">
        <v>41.45</v>
      </c>
      <c r="K556" s="2">
        <v>39.549999999999997</v>
      </c>
      <c r="L556" t="s">
        <v>21</v>
      </c>
    </row>
    <row r="557" spans="1:12" x14ac:dyDescent="0.35">
      <c r="A557" t="s">
        <v>837</v>
      </c>
      <c r="B557">
        <v>45402</v>
      </c>
      <c r="C557" t="s">
        <v>298</v>
      </c>
      <c r="D557" t="s">
        <v>24</v>
      </c>
      <c r="E557" t="s">
        <v>15</v>
      </c>
      <c r="F557" t="s">
        <v>16</v>
      </c>
      <c r="G557">
        <v>2</v>
      </c>
      <c r="H557" s="2">
        <v>87</v>
      </c>
      <c r="I557" s="2">
        <v>174</v>
      </c>
      <c r="J557" s="2">
        <v>110.32</v>
      </c>
      <c r="K557" s="2">
        <v>63.68</v>
      </c>
      <c r="L557" t="s">
        <v>21</v>
      </c>
    </row>
    <row r="558" spans="1:12" x14ac:dyDescent="0.35">
      <c r="A558" t="s">
        <v>838</v>
      </c>
      <c r="B558">
        <v>45367</v>
      </c>
      <c r="C558" t="s">
        <v>618</v>
      </c>
      <c r="D558" t="s">
        <v>42</v>
      </c>
      <c r="E558" t="s">
        <v>29</v>
      </c>
      <c r="F558" t="s">
        <v>30</v>
      </c>
      <c r="G558">
        <v>2</v>
      </c>
      <c r="H558" s="2">
        <v>83</v>
      </c>
      <c r="I558" s="2">
        <v>166</v>
      </c>
      <c r="J558" s="2">
        <v>126.46</v>
      </c>
      <c r="K558" s="2">
        <v>39.54</v>
      </c>
      <c r="L558" t="s">
        <v>17</v>
      </c>
    </row>
    <row r="559" spans="1:12" x14ac:dyDescent="0.35">
      <c r="A559" t="s">
        <v>839</v>
      </c>
      <c r="B559">
        <v>45555</v>
      </c>
      <c r="C559" t="s">
        <v>518</v>
      </c>
      <c r="D559" t="s">
        <v>28</v>
      </c>
      <c r="E559" t="s">
        <v>38</v>
      </c>
      <c r="F559" t="s">
        <v>52</v>
      </c>
      <c r="G559">
        <v>1</v>
      </c>
      <c r="H559" s="2">
        <v>30</v>
      </c>
      <c r="I559" s="2">
        <v>30</v>
      </c>
      <c r="J559" s="2">
        <v>15.27</v>
      </c>
      <c r="K559" s="2">
        <v>14.73</v>
      </c>
      <c r="L559" t="s">
        <v>35</v>
      </c>
    </row>
    <row r="560" spans="1:12" x14ac:dyDescent="0.35">
      <c r="A560" t="s">
        <v>840</v>
      </c>
      <c r="B560">
        <v>45501</v>
      </c>
      <c r="C560" t="s">
        <v>383</v>
      </c>
      <c r="D560" t="s">
        <v>24</v>
      </c>
      <c r="E560" t="s">
        <v>15</v>
      </c>
      <c r="F560" t="s">
        <v>20</v>
      </c>
      <c r="G560">
        <v>1</v>
      </c>
      <c r="H560" s="2">
        <v>54</v>
      </c>
      <c r="I560" s="2">
        <v>54</v>
      </c>
      <c r="J560" s="2">
        <v>35.409999999999997</v>
      </c>
      <c r="K560" s="2">
        <v>18.59</v>
      </c>
      <c r="L560" t="s">
        <v>44</v>
      </c>
    </row>
    <row r="561" spans="1:12" x14ac:dyDescent="0.35">
      <c r="A561" t="s">
        <v>841</v>
      </c>
      <c r="B561">
        <v>45295</v>
      </c>
      <c r="C561" t="s">
        <v>842</v>
      </c>
      <c r="D561" t="s">
        <v>14</v>
      </c>
      <c r="E561" t="s">
        <v>29</v>
      </c>
      <c r="F561" t="s">
        <v>30</v>
      </c>
      <c r="G561">
        <v>5</v>
      </c>
      <c r="H561" s="2">
        <v>45</v>
      </c>
      <c r="I561" s="2">
        <v>225</v>
      </c>
      <c r="J561" s="2">
        <v>136.54</v>
      </c>
      <c r="K561" s="2">
        <v>88.46</v>
      </c>
      <c r="L561" t="s">
        <v>35</v>
      </c>
    </row>
    <row r="562" spans="1:12" x14ac:dyDescent="0.35">
      <c r="A562" t="s">
        <v>843</v>
      </c>
      <c r="B562">
        <v>45300</v>
      </c>
      <c r="C562" t="s">
        <v>844</v>
      </c>
      <c r="D562" t="s">
        <v>42</v>
      </c>
      <c r="E562" t="s">
        <v>38</v>
      </c>
      <c r="F562" t="s">
        <v>39</v>
      </c>
      <c r="G562">
        <v>5</v>
      </c>
      <c r="H562" s="2">
        <v>23</v>
      </c>
      <c r="I562" s="2">
        <v>115</v>
      </c>
      <c r="J562" s="2">
        <v>79.180000000000007</v>
      </c>
      <c r="K562" s="2">
        <v>35.82</v>
      </c>
      <c r="L562" t="s">
        <v>35</v>
      </c>
    </row>
    <row r="563" spans="1:12" x14ac:dyDescent="0.35">
      <c r="A563" t="s">
        <v>845</v>
      </c>
      <c r="B563">
        <v>45495</v>
      </c>
      <c r="C563" t="s">
        <v>846</v>
      </c>
      <c r="D563" t="s">
        <v>42</v>
      </c>
      <c r="E563" t="s">
        <v>15</v>
      </c>
      <c r="F563" t="s">
        <v>16</v>
      </c>
      <c r="G563">
        <v>4</v>
      </c>
      <c r="H563" s="2">
        <v>16</v>
      </c>
      <c r="I563" s="2">
        <v>64</v>
      </c>
      <c r="J563" s="2">
        <v>47.37</v>
      </c>
      <c r="K563" s="2">
        <v>16.63</v>
      </c>
      <c r="L563" t="s">
        <v>17</v>
      </c>
    </row>
    <row r="564" spans="1:12" x14ac:dyDescent="0.35">
      <c r="A564" t="s">
        <v>847</v>
      </c>
      <c r="B564">
        <v>45468</v>
      </c>
      <c r="C564" t="s">
        <v>389</v>
      </c>
      <c r="D564" t="s">
        <v>28</v>
      </c>
      <c r="E564" t="s">
        <v>33</v>
      </c>
      <c r="F564" t="s">
        <v>34</v>
      </c>
      <c r="G564">
        <v>1</v>
      </c>
      <c r="H564" s="2">
        <v>21</v>
      </c>
      <c r="I564" s="2">
        <v>21</v>
      </c>
      <c r="J564" s="2">
        <v>13.93</v>
      </c>
      <c r="K564" s="2">
        <v>7.07</v>
      </c>
      <c r="L564" t="s">
        <v>35</v>
      </c>
    </row>
    <row r="565" spans="1:12" x14ac:dyDescent="0.35">
      <c r="A565" t="s">
        <v>848</v>
      </c>
      <c r="B565">
        <v>45419</v>
      </c>
      <c r="C565" t="s">
        <v>380</v>
      </c>
      <c r="D565" t="s">
        <v>24</v>
      </c>
      <c r="E565" t="s">
        <v>29</v>
      </c>
      <c r="F565" t="s">
        <v>43</v>
      </c>
      <c r="G565">
        <v>5</v>
      </c>
      <c r="H565" s="2">
        <v>32</v>
      </c>
      <c r="I565" s="2">
        <v>160</v>
      </c>
      <c r="J565" s="2">
        <v>111.63</v>
      </c>
      <c r="K565" s="2">
        <v>48.37</v>
      </c>
      <c r="L565" t="s">
        <v>21</v>
      </c>
    </row>
    <row r="566" spans="1:12" x14ac:dyDescent="0.35">
      <c r="A566" t="s">
        <v>849</v>
      </c>
      <c r="B566">
        <v>45387</v>
      </c>
      <c r="C566" t="s">
        <v>85</v>
      </c>
      <c r="D566" t="s">
        <v>42</v>
      </c>
      <c r="E566" t="s">
        <v>38</v>
      </c>
      <c r="F566" t="s">
        <v>52</v>
      </c>
      <c r="G566">
        <v>5</v>
      </c>
      <c r="H566" s="2">
        <v>16</v>
      </c>
      <c r="I566" s="2">
        <v>80</v>
      </c>
      <c r="J566" s="2">
        <v>58.32</v>
      </c>
      <c r="K566" s="2">
        <v>21.68</v>
      </c>
      <c r="L566" t="s">
        <v>21</v>
      </c>
    </row>
    <row r="567" spans="1:12" x14ac:dyDescent="0.35">
      <c r="A567" t="s">
        <v>850</v>
      </c>
      <c r="B567">
        <v>45304</v>
      </c>
      <c r="C567" t="s">
        <v>72</v>
      </c>
      <c r="D567" t="s">
        <v>28</v>
      </c>
      <c r="E567" t="s">
        <v>38</v>
      </c>
      <c r="F567" t="s">
        <v>39</v>
      </c>
      <c r="G567">
        <v>5</v>
      </c>
      <c r="H567" s="2">
        <v>29</v>
      </c>
      <c r="I567" s="2">
        <v>145</v>
      </c>
      <c r="J567" s="2">
        <v>97.46</v>
      </c>
      <c r="K567" s="2">
        <v>47.54</v>
      </c>
      <c r="L567" t="s">
        <v>21</v>
      </c>
    </row>
    <row r="568" spans="1:12" x14ac:dyDescent="0.35">
      <c r="A568" t="s">
        <v>851</v>
      </c>
      <c r="B568">
        <v>45358</v>
      </c>
      <c r="C568" t="s">
        <v>445</v>
      </c>
      <c r="D568" t="s">
        <v>42</v>
      </c>
      <c r="E568" t="s">
        <v>38</v>
      </c>
      <c r="F568" t="s">
        <v>58</v>
      </c>
      <c r="G568">
        <v>4</v>
      </c>
      <c r="H568" s="2">
        <v>64</v>
      </c>
      <c r="I568" s="2">
        <v>256</v>
      </c>
      <c r="J568" s="2">
        <v>180.63</v>
      </c>
      <c r="K568" s="2">
        <v>75.37</v>
      </c>
      <c r="L568" t="s">
        <v>44</v>
      </c>
    </row>
    <row r="569" spans="1:12" x14ac:dyDescent="0.35">
      <c r="A569" t="s">
        <v>852</v>
      </c>
      <c r="B569">
        <v>45404</v>
      </c>
      <c r="C569" t="s">
        <v>130</v>
      </c>
      <c r="D569" t="s">
        <v>28</v>
      </c>
      <c r="E569" t="s">
        <v>38</v>
      </c>
      <c r="F569" t="s">
        <v>52</v>
      </c>
      <c r="G569">
        <v>3</v>
      </c>
      <c r="H569" s="2">
        <v>99</v>
      </c>
      <c r="I569" s="2">
        <v>297</v>
      </c>
      <c r="J569" s="2">
        <v>214.51</v>
      </c>
      <c r="K569" s="2">
        <v>82.49</v>
      </c>
      <c r="L569" t="s">
        <v>44</v>
      </c>
    </row>
    <row r="570" spans="1:12" x14ac:dyDescent="0.35">
      <c r="A570" t="s">
        <v>853</v>
      </c>
      <c r="B570">
        <v>45441</v>
      </c>
      <c r="C570" t="s">
        <v>854</v>
      </c>
      <c r="D570" t="s">
        <v>42</v>
      </c>
      <c r="E570" t="s">
        <v>38</v>
      </c>
      <c r="F570" t="s">
        <v>39</v>
      </c>
      <c r="G570">
        <v>3</v>
      </c>
      <c r="H570" s="2">
        <v>64</v>
      </c>
      <c r="I570" s="2">
        <v>192</v>
      </c>
      <c r="J570" s="2">
        <v>120</v>
      </c>
      <c r="K570" s="2">
        <v>72</v>
      </c>
      <c r="L570" t="s">
        <v>44</v>
      </c>
    </row>
    <row r="571" spans="1:12" x14ac:dyDescent="0.35">
      <c r="A571" t="s">
        <v>855</v>
      </c>
      <c r="B571">
        <v>45418</v>
      </c>
      <c r="C571" t="s">
        <v>74</v>
      </c>
      <c r="D571" t="s">
        <v>24</v>
      </c>
      <c r="E571" t="s">
        <v>33</v>
      </c>
      <c r="F571" t="s">
        <v>55</v>
      </c>
      <c r="G571">
        <v>5</v>
      </c>
      <c r="H571" s="2">
        <v>12</v>
      </c>
      <c r="I571" s="2">
        <v>60</v>
      </c>
      <c r="J571" s="2">
        <v>47.52</v>
      </c>
      <c r="K571" s="2">
        <v>12.48</v>
      </c>
      <c r="L571" t="s">
        <v>44</v>
      </c>
    </row>
    <row r="572" spans="1:12" x14ac:dyDescent="0.35">
      <c r="A572" t="s">
        <v>856</v>
      </c>
      <c r="B572">
        <v>45499</v>
      </c>
      <c r="C572" t="s">
        <v>326</v>
      </c>
      <c r="D572" t="s">
        <v>14</v>
      </c>
      <c r="E572" t="s">
        <v>33</v>
      </c>
      <c r="F572" t="s">
        <v>34</v>
      </c>
      <c r="G572">
        <v>5</v>
      </c>
      <c r="H572" s="2">
        <v>88</v>
      </c>
      <c r="I572" s="2">
        <v>440</v>
      </c>
      <c r="J572" s="2">
        <v>311.27</v>
      </c>
      <c r="K572" s="2">
        <v>128.72999999999999</v>
      </c>
      <c r="L572" t="s">
        <v>44</v>
      </c>
    </row>
    <row r="573" spans="1:12" x14ac:dyDescent="0.35">
      <c r="A573" t="s">
        <v>857</v>
      </c>
      <c r="B573">
        <v>45341</v>
      </c>
      <c r="C573" t="s">
        <v>62</v>
      </c>
      <c r="D573" t="s">
        <v>24</v>
      </c>
      <c r="E573" t="s">
        <v>38</v>
      </c>
      <c r="F573" t="s">
        <v>39</v>
      </c>
      <c r="G573">
        <v>3</v>
      </c>
      <c r="H573" s="2">
        <v>46</v>
      </c>
      <c r="I573" s="2">
        <v>138</v>
      </c>
      <c r="J573" s="2">
        <v>70.27</v>
      </c>
      <c r="K573" s="2">
        <v>67.73</v>
      </c>
      <c r="L573" t="s">
        <v>17</v>
      </c>
    </row>
    <row r="574" spans="1:12" x14ac:dyDescent="0.35">
      <c r="A574" t="s">
        <v>858</v>
      </c>
      <c r="B574">
        <v>45595</v>
      </c>
      <c r="C574" t="s">
        <v>19</v>
      </c>
      <c r="D574" t="s">
        <v>14</v>
      </c>
      <c r="E574" t="s">
        <v>33</v>
      </c>
      <c r="F574" t="s">
        <v>92</v>
      </c>
      <c r="G574">
        <v>3</v>
      </c>
      <c r="H574" s="2">
        <v>53</v>
      </c>
      <c r="I574" s="2">
        <v>159</v>
      </c>
      <c r="J574" s="2">
        <v>124.61</v>
      </c>
      <c r="K574" s="2">
        <v>34.39</v>
      </c>
      <c r="L574" t="s">
        <v>35</v>
      </c>
    </row>
    <row r="575" spans="1:12" x14ac:dyDescent="0.35">
      <c r="A575" t="s">
        <v>859</v>
      </c>
      <c r="B575">
        <v>45597</v>
      </c>
      <c r="C575" t="s">
        <v>122</v>
      </c>
      <c r="D575" t="s">
        <v>24</v>
      </c>
      <c r="E575" t="s">
        <v>15</v>
      </c>
      <c r="F575" t="s">
        <v>20</v>
      </c>
      <c r="G575">
        <v>4</v>
      </c>
      <c r="H575" s="2">
        <v>64</v>
      </c>
      <c r="I575" s="2">
        <v>256</v>
      </c>
      <c r="J575" s="2">
        <v>155.97999999999999</v>
      </c>
      <c r="K575" s="2">
        <v>100.02</v>
      </c>
      <c r="L575" t="s">
        <v>21</v>
      </c>
    </row>
    <row r="576" spans="1:12" x14ac:dyDescent="0.35">
      <c r="A576" t="s">
        <v>860</v>
      </c>
      <c r="B576">
        <v>45465</v>
      </c>
      <c r="C576" t="s">
        <v>861</v>
      </c>
      <c r="D576" t="s">
        <v>42</v>
      </c>
      <c r="E576" t="s">
        <v>38</v>
      </c>
      <c r="F576" t="s">
        <v>39</v>
      </c>
      <c r="G576">
        <v>4</v>
      </c>
      <c r="H576" s="2">
        <v>72</v>
      </c>
      <c r="I576" s="2">
        <v>288</v>
      </c>
      <c r="J576" s="2">
        <v>229.69</v>
      </c>
      <c r="K576" s="2">
        <v>58.31</v>
      </c>
      <c r="L576" t="s">
        <v>21</v>
      </c>
    </row>
    <row r="577" spans="1:12" x14ac:dyDescent="0.35">
      <c r="A577" t="s">
        <v>862</v>
      </c>
      <c r="B577">
        <v>45360</v>
      </c>
      <c r="C577" t="s">
        <v>211</v>
      </c>
      <c r="D577" t="s">
        <v>42</v>
      </c>
      <c r="E577" t="s">
        <v>29</v>
      </c>
      <c r="F577" t="s">
        <v>47</v>
      </c>
      <c r="G577">
        <v>5</v>
      </c>
      <c r="H577" s="2">
        <v>17</v>
      </c>
      <c r="I577" s="2">
        <v>85</v>
      </c>
      <c r="J577" s="2">
        <v>47.26</v>
      </c>
      <c r="K577" s="2">
        <v>37.74</v>
      </c>
      <c r="L577" t="s">
        <v>44</v>
      </c>
    </row>
    <row r="578" spans="1:12" x14ac:dyDescent="0.35">
      <c r="A578" t="s">
        <v>863</v>
      </c>
      <c r="B578">
        <v>45536</v>
      </c>
      <c r="C578" t="s">
        <v>861</v>
      </c>
      <c r="D578" t="s">
        <v>28</v>
      </c>
      <c r="E578" t="s">
        <v>33</v>
      </c>
      <c r="F578" t="s">
        <v>92</v>
      </c>
      <c r="G578">
        <v>5</v>
      </c>
      <c r="H578" s="2">
        <v>100</v>
      </c>
      <c r="I578" s="2">
        <v>500</v>
      </c>
      <c r="J578" s="2">
        <v>347.41</v>
      </c>
      <c r="K578" s="2">
        <v>152.59</v>
      </c>
      <c r="L578" t="s">
        <v>17</v>
      </c>
    </row>
    <row r="579" spans="1:12" x14ac:dyDescent="0.35">
      <c r="A579" t="s">
        <v>864</v>
      </c>
      <c r="B579">
        <v>45463</v>
      </c>
      <c r="C579" t="s">
        <v>118</v>
      </c>
      <c r="D579" t="s">
        <v>28</v>
      </c>
      <c r="E579" t="s">
        <v>33</v>
      </c>
      <c r="F579" t="s">
        <v>34</v>
      </c>
      <c r="G579">
        <v>4</v>
      </c>
      <c r="H579" s="2">
        <v>97</v>
      </c>
      <c r="I579" s="2">
        <v>388</v>
      </c>
      <c r="J579" s="2">
        <v>213.68</v>
      </c>
      <c r="K579" s="2">
        <v>174.32</v>
      </c>
      <c r="L579" t="s">
        <v>35</v>
      </c>
    </row>
    <row r="580" spans="1:12" x14ac:dyDescent="0.35">
      <c r="A580" t="s">
        <v>865</v>
      </c>
      <c r="B580">
        <v>45511</v>
      </c>
      <c r="C580" t="s">
        <v>199</v>
      </c>
      <c r="D580" t="s">
        <v>42</v>
      </c>
      <c r="E580" t="s">
        <v>33</v>
      </c>
      <c r="F580" t="s">
        <v>55</v>
      </c>
      <c r="G580">
        <v>3</v>
      </c>
      <c r="H580" s="2">
        <v>51</v>
      </c>
      <c r="I580" s="2">
        <v>153</v>
      </c>
      <c r="J580" s="2">
        <v>99.69</v>
      </c>
      <c r="K580" s="2">
        <v>53.31</v>
      </c>
      <c r="L580" t="s">
        <v>21</v>
      </c>
    </row>
    <row r="581" spans="1:12" x14ac:dyDescent="0.35">
      <c r="A581" t="s">
        <v>866</v>
      </c>
      <c r="B581">
        <v>45587</v>
      </c>
      <c r="C581" t="s">
        <v>118</v>
      </c>
      <c r="D581" t="s">
        <v>42</v>
      </c>
      <c r="E581" t="s">
        <v>38</v>
      </c>
      <c r="F581" t="s">
        <v>58</v>
      </c>
      <c r="G581">
        <v>4</v>
      </c>
      <c r="H581" s="2">
        <v>86</v>
      </c>
      <c r="I581" s="2">
        <v>344</v>
      </c>
      <c r="J581" s="2">
        <v>222.61</v>
      </c>
      <c r="K581" s="2">
        <v>121.39</v>
      </c>
      <c r="L581" t="s">
        <v>44</v>
      </c>
    </row>
    <row r="582" spans="1:12" x14ac:dyDescent="0.35">
      <c r="A582" t="s">
        <v>867</v>
      </c>
      <c r="B582">
        <v>45613</v>
      </c>
      <c r="C582" t="s">
        <v>282</v>
      </c>
      <c r="D582" t="s">
        <v>24</v>
      </c>
      <c r="E582" t="s">
        <v>15</v>
      </c>
      <c r="F582" t="s">
        <v>25</v>
      </c>
      <c r="G582">
        <v>5</v>
      </c>
      <c r="H582" s="2">
        <v>79</v>
      </c>
      <c r="I582" s="2">
        <v>395</v>
      </c>
      <c r="J582" s="2">
        <v>227.98</v>
      </c>
      <c r="K582" s="2">
        <v>167.02</v>
      </c>
      <c r="L582" t="s">
        <v>17</v>
      </c>
    </row>
    <row r="583" spans="1:12" x14ac:dyDescent="0.35">
      <c r="A583" t="s">
        <v>868</v>
      </c>
      <c r="B583">
        <v>45412</v>
      </c>
      <c r="C583" t="s">
        <v>783</v>
      </c>
      <c r="D583" t="s">
        <v>24</v>
      </c>
      <c r="E583" t="s">
        <v>29</v>
      </c>
      <c r="F583" t="s">
        <v>30</v>
      </c>
      <c r="G583">
        <v>3</v>
      </c>
      <c r="H583" s="2">
        <v>10</v>
      </c>
      <c r="I583" s="2">
        <v>30</v>
      </c>
      <c r="J583" s="2">
        <v>17.12</v>
      </c>
      <c r="K583" s="2">
        <v>12.88</v>
      </c>
      <c r="L583" t="s">
        <v>44</v>
      </c>
    </row>
    <row r="584" spans="1:12" x14ac:dyDescent="0.35">
      <c r="A584" t="s">
        <v>869</v>
      </c>
      <c r="B584">
        <v>45296</v>
      </c>
      <c r="C584" t="s">
        <v>175</v>
      </c>
      <c r="D584" t="s">
        <v>24</v>
      </c>
      <c r="E584" t="s">
        <v>33</v>
      </c>
      <c r="F584" t="s">
        <v>34</v>
      </c>
      <c r="G584">
        <v>2</v>
      </c>
      <c r="H584" s="2">
        <v>75</v>
      </c>
      <c r="I584" s="2">
        <v>150</v>
      </c>
      <c r="J584" s="2">
        <v>75.73</v>
      </c>
      <c r="K584" s="2">
        <v>74.27</v>
      </c>
      <c r="L584" t="s">
        <v>21</v>
      </c>
    </row>
    <row r="585" spans="1:12" x14ac:dyDescent="0.35">
      <c r="A585" t="s">
        <v>870</v>
      </c>
      <c r="B585">
        <v>45452</v>
      </c>
      <c r="C585" t="s">
        <v>402</v>
      </c>
      <c r="D585" t="s">
        <v>42</v>
      </c>
      <c r="E585" t="s">
        <v>33</v>
      </c>
      <c r="F585" t="s">
        <v>55</v>
      </c>
      <c r="G585">
        <v>4</v>
      </c>
      <c r="H585" s="2">
        <v>19</v>
      </c>
      <c r="I585" s="2">
        <v>76</v>
      </c>
      <c r="J585" s="2">
        <v>60.65</v>
      </c>
      <c r="K585" s="2">
        <v>15.35</v>
      </c>
      <c r="L585" t="s">
        <v>35</v>
      </c>
    </row>
    <row r="586" spans="1:12" x14ac:dyDescent="0.35">
      <c r="A586" t="s">
        <v>871</v>
      </c>
      <c r="B586">
        <v>45629</v>
      </c>
      <c r="C586" t="s">
        <v>872</v>
      </c>
      <c r="D586" t="s">
        <v>42</v>
      </c>
      <c r="E586" t="s">
        <v>38</v>
      </c>
      <c r="F586" t="s">
        <v>58</v>
      </c>
      <c r="G586">
        <v>3</v>
      </c>
      <c r="H586" s="2">
        <v>73</v>
      </c>
      <c r="I586" s="2">
        <v>219</v>
      </c>
      <c r="J586" s="2">
        <v>168.59</v>
      </c>
      <c r="K586" s="2">
        <v>50.41</v>
      </c>
      <c r="L586" t="s">
        <v>17</v>
      </c>
    </row>
    <row r="587" spans="1:12" x14ac:dyDescent="0.35">
      <c r="A587" t="s">
        <v>873</v>
      </c>
      <c r="B587">
        <v>45652</v>
      </c>
      <c r="C587" t="s">
        <v>268</v>
      </c>
      <c r="D587" t="s">
        <v>24</v>
      </c>
      <c r="E587" t="s">
        <v>33</v>
      </c>
      <c r="F587" t="s">
        <v>55</v>
      </c>
      <c r="G587">
        <v>4</v>
      </c>
      <c r="H587" s="2">
        <v>79</v>
      </c>
      <c r="I587" s="2">
        <v>316</v>
      </c>
      <c r="J587" s="2">
        <v>233.62</v>
      </c>
      <c r="K587" s="2">
        <v>82.38</v>
      </c>
      <c r="L587" t="s">
        <v>17</v>
      </c>
    </row>
    <row r="588" spans="1:12" x14ac:dyDescent="0.35">
      <c r="A588" t="s">
        <v>874</v>
      </c>
      <c r="B588">
        <v>45538</v>
      </c>
      <c r="C588" t="s">
        <v>407</v>
      </c>
      <c r="D588" t="s">
        <v>24</v>
      </c>
      <c r="E588" t="s">
        <v>15</v>
      </c>
      <c r="F588" t="s">
        <v>16</v>
      </c>
      <c r="G588">
        <v>1</v>
      </c>
      <c r="H588" s="2">
        <v>21</v>
      </c>
      <c r="I588" s="2">
        <v>21</v>
      </c>
      <c r="J588" s="2">
        <v>14.7</v>
      </c>
      <c r="K588" s="2">
        <v>6.3</v>
      </c>
      <c r="L588" t="s">
        <v>17</v>
      </c>
    </row>
    <row r="589" spans="1:12" x14ac:dyDescent="0.35">
      <c r="A589" t="s">
        <v>875</v>
      </c>
      <c r="B589">
        <v>45304</v>
      </c>
      <c r="C589" t="s">
        <v>255</v>
      </c>
      <c r="D589" t="s">
        <v>14</v>
      </c>
      <c r="E589" t="s">
        <v>33</v>
      </c>
      <c r="F589" t="s">
        <v>55</v>
      </c>
      <c r="G589">
        <v>3</v>
      </c>
      <c r="H589" s="2">
        <v>69</v>
      </c>
      <c r="I589" s="2">
        <v>207</v>
      </c>
      <c r="J589" s="2">
        <v>112.82</v>
      </c>
      <c r="K589" s="2">
        <v>94.18</v>
      </c>
      <c r="L589" t="s">
        <v>21</v>
      </c>
    </row>
    <row r="590" spans="1:12" x14ac:dyDescent="0.35">
      <c r="A590" t="s">
        <v>876</v>
      </c>
      <c r="B590">
        <v>45444</v>
      </c>
      <c r="C590" t="s">
        <v>507</v>
      </c>
      <c r="D590" t="s">
        <v>28</v>
      </c>
      <c r="E590" t="s">
        <v>38</v>
      </c>
      <c r="F590" t="s">
        <v>58</v>
      </c>
      <c r="G590">
        <v>2</v>
      </c>
      <c r="H590" s="2">
        <v>25</v>
      </c>
      <c r="I590" s="2">
        <v>50</v>
      </c>
      <c r="J590" s="2">
        <v>33.26</v>
      </c>
      <c r="K590" s="2">
        <v>16.739999999999998</v>
      </c>
      <c r="L590" t="s">
        <v>44</v>
      </c>
    </row>
    <row r="591" spans="1:12" x14ac:dyDescent="0.35">
      <c r="A591" t="s">
        <v>877</v>
      </c>
      <c r="B591">
        <v>45611</v>
      </c>
      <c r="C591" t="s">
        <v>584</v>
      </c>
      <c r="D591" t="s">
        <v>14</v>
      </c>
      <c r="E591" t="s">
        <v>33</v>
      </c>
      <c r="F591" t="s">
        <v>34</v>
      </c>
      <c r="G591">
        <v>2</v>
      </c>
      <c r="H591" s="2">
        <v>32</v>
      </c>
      <c r="I591" s="2">
        <v>64</v>
      </c>
      <c r="J591" s="2">
        <v>46.45</v>
      </c>
      <c r="K591" s="2">
        <v>17.55</v>
      </c>
      <c r="L591" t="s">
        <v>35</v>
      </c>
    </row>
    <row r="592" spans="1:12" x14ac:dyDescent="0.35">
      <c r="A592" t="s">
        <v>878</v>
      </c>
      <c r="B592">
        <v>45453</v>
      </c>
      <c r="C592" t="s">
        <v>879</v>
      </c>
      <c r="D592" t="s">
        <v>28</v>
      </c>
      <c r="E592" t="s">
        <v>33</v>
      </c>
      <c r="F592" t="s">
        <v>34</v>
      </c>
      <c r="G592">
        <v>3</v>
      </c>
      <c r="H592" s="2">
        <v>88</v>
      </c>
      <c r="I592" s="2">
        <v>264</v>
      </c>
      <c r="J592" s="2">
        <v>154.06</v>
      </c>
      <c r="K592" s="2">
        <v>109.94</v>
      </c>
      <c r="L592" t="s">
        <v>21</v>
      </c>
    </row>
    <row r="593" spans="1:12" x14ac:dyDescent="0.35">
      <c r="A593" t="s">
        <v>880</v>
      </c>
      <c r="B593">
        <v>45503</v>
      </c>
      <c r="C593" t="s">
        <v>144</v>
      </c>
      <c r="D593" t="s">
        <v>28</v>
      </c>
      <c r="E593" t="s">
        <v>33</v>
      </c>
      <c r="F593" t="s">
        <v>92</v>
      </c>
      <c r="G593">
        <v>4</v>
      </c>
      <c r="H593" s="2">
        <v>61</v>
      </c>
      <c r="I593" s="2">
        <v>244</v>
      </c>
      <c r="J593" s="2">
        <v>170.12</v>
      </c>
      <c r="K593" s="2">
        <v>73.88</v>
      </c>
      <c r="L593" t="s">
        <v>17</v>
      </c>
    </row>
    <row r="594" spans="1:12" x14ac:dyDescent="0.35">
      <c r="A594" t="s">
        <v>881</v>
      </c>
      <c r="B594">
        <v>45334</v>
      </c>
      <c r="C594" t="s">
        <v>312</v>
      </c>
      <c r="D594" t="s">
        <v>42</v>
      </c>
      <c r="E594" t="s">
        <v>15</v>
      </c>
      <c r="F594" t="s">
        <v>25</v>
      </c>
      <c r="G594">
        <v>3</v>
      </c>
      <c r="H594" s="2">
        <v>79</v>
      </c>
      <c r="I594" s="2">
        <v>237</v>
      </c>
      <c r="J594" s="2">
        <v>181.41</v>
      </c>
      <c r="K594" s="2">
        <v>55.59</v>
      </c>
      <c r="L594" t="s">
        <v>21</v>
      </c>
    </row>
    <row r="595" spans="1:12" x14ac:dyDescent="0.35">
      <c r="A595" t="s">
        <v>882</v>
      </c>
      <c r="B595">
        <v>45294</v>
      </c>
      <c r="C595" t="s">
        <v>414</v>
      </c>
      <c r="D595" t="s">
        <v>14</v>
      </c>
      <c r="E595" t="s">
        <v>38</v>
      </c>
      <c r="F595" t="s">
        <v>52</v>
      </c>
      <c r="G595">
        <v>5</v>
      </c>
      <c r="H595" s="2">
        <v>99</v>
      </c>
      <c r="I595" s="2">
        <v>495</v>
      </c>
      <c r="J595" s="2">
        <v>337.1</v>
      </c>
      <c r="K595" s="2">
        <v>157.9</v>
      </c>
      <c r="L595" t="s">
        <v>44</v>
      </c>
    </row>
    <row r="596" spans="1:12" x14ac:dyDescent="0.35">
      <c r="A596" t="s">
        <v>883</v>
      </c>
      <c r="B596">
        <v>45411</v>
      </c>
      <c r="C596" t="s">
        <v>62</v>
      </c>
      <c r="D596" t="s">
        <v>28</v>
      </c>
      <c r="E596" t="s">
        <v>15</v>
      </c>
      <c r="F596" t="s">
        <v>25</v>
      </c>
      <c r="G596">
        <v>3</v>
      </c>
      <c r="H596" s="2">
        <v>40</v>
      </c>
      <c r="I596" s="2">
        <v>120</v>
      </c>
      <c r="J596" s="2">
        <v>66.37</v>
      </c>
      <c r="K596" s="2">
        <v>53.63</v>
      </c>
      <c r="L596" t="s">
        <v>21</v>
      </c>
    </row>
    <row r="597" spans="1:12" x14ac:dyDescent="0.35">
      <c r="A597" t="s">
        <v>884</v>
      </c>
      <c r="B597">
        <v>45516</v>
      </c>
      <c r="C597" t="s">
        <v>885</v>
      </c>
      <c r="D597" t="s">
        <v>14</v>
      </c>
      <c r="E597" t="s">
        <v>38</v>
      </c>
      <c r="F597" t="s">
        <v>39</v>
      </c>
      <c r="G597">
        <v>2</v>
      </c>
      <c r="H597" s="2">
        <v>21</v>
      </c>
      <c r="I597" s="2">
        <v>42</v>
      </c>
      <c r="J597" s="2">
        <v>30.66</v>
      </c>
      <c r="K597" s="2">
        <v>11.34</v>
      </c>
      <c r="L597" t="s">
        <v>35</v>
      </c>
    </row>
    <row r="598" spans="1:12" x14ac:dyDescent="0.35">
      <c r="A598" t="s">
        <v>886</v>
      </c>
      <c r="B598">
        <v>45557</v>
      </c>
      <c r="C598" t="s">
        <v>130</v>
      </c>
      <c r="D598" t="s">
        <v>14</v>
      </c>
      <c r="E598" t="s">
        <v>33</v>
      </c>
      <c r="F598" t="s">
        <v>55</v>
      </c>
      <c r="G598">
        <v>1</v>
      </c>
      <c r="H598" s="2">
        <v>83</v>
      </c>
      <c r="I598" s="2">
        <v>83</v>
      </c>
      <c r="J598" s="2">
        <v>56.99</v>
      </c>
      <c r="K598" s="2">
        <v>26.01</v>
      </c>
      <c r="L598" t="s">
        <v>17</v>
      </c>
    </row>
    <row r="599" spans="1:12" x14ac:dyDescent="0.35">
      <c r="A599" t="s">
        <v>887</v>
      </c>
      <c r="B599">
        <v>45639</v>
      </c>
      <c r="C599" t="s">
        <v>214</v>
      </c>
      <c r="D599" t="s">
        <v>24</v>
      </c>
      <c r="E599" t="s">
        <v>29</v>
      </c>
      <c r="F599" t="s">
        <v>30</v>
      </c>
      <c r="G599">
        <v>1</v>
      </c>
      <c r="H599" s="2">
        <v>80</v>
      </c>
      <c r="I599" s="2">
        <v>80</v>
      </c>
      <c r="J599" s="2">
        <v>53.6</v>
      </c>
      <c r="K599" s="2">
        <v>26.4</v>
      </c>
      <c r="L599" t="s">
        <v>17</v>
      </c>
    </row>
    <row r="600" spans="1:12" x14ac:dyDescent="0.35">
      <c r="A600" t="s">
        <v>888</v>
      </c>
      <c r="B600">
        <v>45344</v>
      </c>
      <c r="C600" t="s">
        <v>889</v>
      </c>
      <c r="D600" t="s">
        <v>14</v>
      </c>
      <c r="E600" t="s">
        <v>33</v>
      </c>
      <c r="F600" t="s">
        <v>92</v>
      </c>
      <c r="G600">
        <v>5</v>
      </c>
      <c r="H600" s="2">
        <v>30</v>
      </c>
      <c r="I600" s="2">
        <v>150</v>
      </c>
      <c r="J600" s="2">
        <v>103.74</v>
      </c>
      <c r="K600" s="2">
        <v>46.26</v>
      </c>
      <c r="L600" t="s">
        <v>44</v>
      </c>
    </row>
    <row r="601" spans="1:12" x14ac:dyDescent="0.35">
      <c r="A601" t="s">
        <v>890</v>
      </c>
      <c r="B601">
        <v>45447</v>
      </c>
      <c r="C601" t="s">
        <v>556</v>
      </c>
      <c r="D601" t="s">
        <v>28</v>
      </c>
      <c r="E601" t="s">
        <v>15</v>
      </c>
      <c r="F601" t="s">
        <v>20</v>
      </c>
      <c r="G601">
        <v>1</v>
      </c>
      <c r="H601" s="2">
        <v>65</v>
      </c>
      <c r="I601" s="2">
        <v>65</v>
      </c>
      <c r="J601" s="2">
        <v>33.659999999999997</v>
      </c>
      <c r="K601" s="2">
        <v>31.34</v>
      </c>
      <c r="L601" t="s">
        <v>17</v>
      </c>
    </row>
    <row r="602" spans="1:12" x14ac:dyDescent="0.35">
      <c r="A602" t="s">
        <v>891</v>
      </c>
      <c r="B602">
        <v>45438</v>
      </c>
      <c r="C602" t="s">
        <v>155</v>
      </c>
      <c r="D602" t="s">
        <v>28</v>
      </c>
      <c r="E602" t="s">
        <v>38</v>
      </c>
      <c r="F602" t="s">
        <v>39</v>
      </c>
      <c r="G602">
        <v>5</v>
      </c>
      <c r="H602" s="2">
        <v>12</v>
      </c>
      <c r="I602" s="2">
        <v>60</v>
      </c>
      <c r="J602" s="2">
        <v>35.29</v>
      </c>
      <c r="K602" s="2">
        <v>24.71</v>
      </c>
      <c r="L602" t="s">
        <v>21</v>
      </c>
    </row>
    <row r="603" spans="1:12" x14ac:dyDescent="0.35">
      <c r="A603" t="s">
        <v>892</v>
      </c>
      <c r="B603">
        <v>45526</v>
      </c>
      <c r="C603" t="s">
        <v>218</v>
      </c>
      <c r="D603" t="s">
        <v>42</v>
      </c>
      <c r="E603" t="s">
        <v>33</v>
      </c>
      <c r="F603" t="s">
        <v>92</v>
      </c>
      <c r="G603">
        <v>5</v>
      </c>
      <c r="H603" s="2">
        <v>53</v>
      </c>
      <c r="I603" s="2">
        <v>265</v>
      </c>
      <c r="J603" s="2">
        <v>168.81</v>
      </c>
      <c r="K603" s="2">
        <v>96.19</v>
      </c>
      <c r="L603" t="s">
        <v>21</v>
      </c>
    </row>
    <row r="604" spans="1:12" x14ac:dyDescent="0.35">
      <c r="A604" t="s">
        <v>893</v>
      </c>
      <c r="B604">
        <v>45398</v>
      </c>
      <c r="C604" t="s">
        <v>668</v>
      </c>
      <c r="D604" t="s">
        <v>42</v>
      </c>
      <c r="E604" t="s">
        <v>15</v>
      </c>
      <c r="F604" t="s">
        <v>25</v>
      </c>
      <c r="G604">
        <v>1</v>
      </c>
      <c r="H604" s="2">
        <v>87</v>
      </c>
      <c r="I604" s="2">
        <v>87</v>
      </c>
      <c r="J604" s="2">
        <v>58.72</v>
      </c>
      <c r="K604" s="2">
        <v>28.28</v>
      </c>
      <c r="L604" t="s">
        <v>17</v>
      </c>
    </row>
    <row r="605" spans="1:12" x14ac:dyDescent="0.35">
      <c r="A605" t="s">
        <v>894</v>
      </c>
      <c r="B605">
        <v>45365</v>
      </c>
      <c r="C605" t="s">
        <v>391</v>
      </c>
      <c r="D605" t="s">
        <v>42</v>
      </c>
      <c r="E605" t="s">
        <v>33</v>
      </c>
      <c r="F605" t="s">
        <v>92</v>
      </c>
      <c r="G605">
        <v>5</v>
      </c>
      <c r="H605" s="2">
        <v>26</v>
      </c>
      <c r="I605" s="2">
        <v>130</v>
      </c>
      <c r="J605" s="2">
        <v>97.47</v>
      </c>
      <c r="K605" s="2">
        <v>32.53</v>
      </c>
      <c r="L605" t="s">
        <v>35</v>
      </c>
    </row>
    <row r="606" spans="1:12" x14ac:dyDescent="0.35">
      <c r="A606" t="s">
        <v>895</v>
      </c>
      <c r="B606">
        <v>45639</v>
      </c>
      <c r="C606" t="s">
        <v>483</v>
      </c>
      <c r="D606" t="s">
        <v>14</v>
      </c>
      <c r="E606" t="s">
        <v>29</v>
      </c>
      <c r="F606" t="s">
        <v>75</v>
      </c>
      <c r="G606">
        <v>5</v>
      </c>
      <c r="H606" s="2">
        <v>91</v>
      </c>
      <c r="I606" s="2">
        <v>455</v>
      </c>
      <c r="J606" s="2">
        <v>289.16000000000003</v>
      </c>
      <c r="K606" s="2">
        <v>165.84</v>
      </c>
      <c r="L606" t="s">
        <v>44</v>
      </c>
    </row>
    <row r="607" spans="1:12" x14ac:dyDescent="0.35">
      <c r="A607" t="s">
        <v>896</v>
      </c>
      <c r="B607">
        <v>45521</v>
      </c>
      <c r="C607" t="s">
        <v>54</v>
      </c>
      <c r="D607" t="s">
        <v>42</v>
      </c>
      <c r="E607" t="s">
        <v>15</v>
      </c>
      <c r="F607" t="s">
        <v>20</v>
      </c>
      <c r="G607">
        <v>5</v>
      </c>
      <c r="H607" s="2">
        <v>61</v>
      </c>
      <c r="I607" s="2">
        <v>305</v>
      </c>
      <c r="J607" s="2">
        <v>166.09</v>
      </c>
      <c r="K607" s="2">
        <v>138.91</v>
      </c>
      <c r="L607" t="s">
        <v>44</v>
      </c>
    </row>
    <row r="608" spans="1:12" x14ac:dyDescent="0.35">
      <c r="A608" t="s">
        <v>897</v>
      </c>
      <c r="B608">
        <v>45606</v>
      </c>
      <c r="C608" t="s">
        <v>854</v>
      </c>
      <c r="D608" t="s">
        <v>42</v>
      </c>
      <c r="E608" t="s">
        <v>33</v>
      </c>
      <c r="F608" t="s">
        <v>92</v>
      </c>
      <c r="G608">
        <v>1</v>
      </c>
      <c r="H608" s="2">
        <v>93</v>
      </c>
      <c r="I608" s="2">
        <v>93</v>
      </c>
      <c r="J608" s="2">
        <v>68.3</v>
      </c>
      <c r="K608" s="2">
        <v>24.7</v>
      </c>
      <c r="L608" t="s">
        <v>17</v>
      </c>
    </row>
    <row r="609" spans="1:12" x14ac:dyDescent="0.35">
      <c r="A609" t="s">
        <v>898</v>
      </c>
      <c r="B609">
        <v>45481</v>
      </c>
      <c r="C609" t="s">
        <v>412</v>
      </c>
      <c r="D609" t="s">
        <v>42</v>
      </c>
      <c r="E609" t="s">
        <v>29</v>
      </c>
      <c r="F609" t="s">
        <v>43</v>
      </c>
      <c r="G609">
        <v>2</v>
      </c>
      <c r="H609" s="2">
        <v>51</v>
      </c>
      <c r="I609" s="2">
        <v>102</v>
      </c>
      <c r="J609" s="2">
        <v>59.32</v>
      </c>
      <c r="K609" s="2">
        <v>42.68</v>
      </c>
      <c r="L609" t="s">
        <v>21</v>
      </c>
    </row>
    <row r="610" spans="1:12" x14ac:dyDescent="0.35">
      <c r="A610" t="s">
        <v>899</v>
      </c>
      <c r="B610">
        <v>45492</v>
      </c>
      <c r="C610" t="s">
        <v>885</v>
      </c>
      <c r="D610" t="s">
        <v>28</v>
      </c>
      <c r="E610" t="s">
        <v>29</v>
      </c>
      <c r="F610" t="s">
        <v>75</v>
      </c>
      <c r="G610">
        <v>5</v>
      </c>
      <c r="H610" s="2">
        <v>44</v>
      </c>
      <c r="I610" s="2">
        <v>220</v>
      </c>
      <c r="J610" s="2">
        <v>122.9</v>
      </c>
      <c r="K610" s="2">
        <v>97.1</v>
      </c>
      <c r="L610" t="s">
        <v>17</v>
      </c>
    </row>
    <row r="611" spans="1:12" x14ac:dyDescent="0.35">
      <c r="A611" t="s">
        <v>900</v>
      </c>
      <c r="B611">
        <v>45360</v>
      </c>
      <c r="C611" t="s">
        <v>643</v>
      </c>
      <c r="D611" t="s">
        <v>14</v>
      </c>
      <c r="E611" t="s">
        <v>33</v>
      </c>
      <c r="F611" t="s">
        <v>34</v>
      </c>
      <c r="G611">
        <v>4</v>
      </c>
      <c r="H611" s="2">
        <v>46</v>
      </c>
      <c r="I611" s="2">
        <v>184</v>
      </c>
      <c r="J611" s="2">
        <v>105.51</v>
      </c>
      <c r="K611" s="2">
        <v>78.489999999999995</v>
      </c>
      <c r="L611" t="s">
        <v>35</v>
      </c>
    </row>
    <row r="612" spans="1:12" x14ac:dyDescent="0.35">
      <c r="A612" t="s">
        <v>901</v>
      </c>
      <c r="B612">
        <v>45298</v>
      </c>
      <c r="C612" t="s">
        <v>512</v>
      </c>
      <c r="D612" t="s">
        <v>42</v>
      </c>
      <c r="E612" t="s">
        <v>38</v>
      </c>
      <c r="F612" t="s">
        <v>39</v>
      </c>
      <c r="G612">
        <v>3</v>
      </c>
      <c r="H612" s="2">
        <v>80</v>
      </c>
      <c r="I612" s="2">
        <v>240</v>
      </c>
      <c r="J612" s="2">
        <v>157.05000000000001</v>
      </c>
      <c r="K612" s="2">
        <v>82.95</v>
      </c>
      <c r="L612" t="s">
        <v>44</v>
      </c>
    </row>
    <row r="613" spans="1:12" x14ac:dyDescent="0.35">
      <c r="A613" t="s">
        <v>902</v>
      </c>
      <c r="B613">
        <v>45319</v>
      </c>
      <c r="C613" t="s">
        <v>581</v>
      </c>
      <c r="D613" t="s">
        <v>42</v>
      </c>
      <c r="E613" t="s">
        <v>15</v>
      </c>
      <c r="F613" t="s">
        <v>16</v>
      </c>
      <c r="G613">
        <v>2</v>
      </c>
      <c r="H613" s="2">
        <v>67</v>
      </c>
      <c r="I613" s="2">
        <v>134</v>
      </c>
      <c r="J613" s="2">
        <v>71.7</v>
      </c>
      <c r="K613" s="2">
        <v>62.3</v>
      </c>
      <c r="L613" t="s">
        <v>44</v>
      </c>
    </row>
    <row r="614" spans="1:12" x14ac:dyDescent="0.35">
      <c r="A614" t="s">
        <v>903</v>
      </c>
      <c r="B614">
        <v>45619</v>
      </c>
      <c r="C614" t="s">
        <v>538</v>
      </c>
      <c r="D614" t="s">
        <v>24</v>
      </c>
      <c r="E614" t="s">
        <v>15</v>
      </c>
      <c r="F614" t="s">
        <v>16</v>
      </c>
      <c r="G614">
        <v>1</v>
      </c>
      <c r="H614" s="2">
        <v>40</v>
      </c>
      <c r="I614" s="2">
        <v>40</v>
      </c>
      <c r="J614" s="2">
        <v>23.2</v>
      </c>
      <c r="K614" s="2">
        <v>16.8</v>
      </c>
      <c r="L614" t="s">
        <v>21</v>
      </c>
    </row>
    <row r="615" spans="1:12" x14ac:dyDescent="0.35">
      <c r="A615" t="s">
        <v>904</v>
      </c>
      <c r="B615">
        <v>45592</v>
      </c>
      <c r="C615" t="s">
        <v>412</v>
      </c>
      <c r="D615" t="s">
        <v>42</v>
      </c>
      <c r="E615" t="s">
        <v>29</v>
      </c>
      <c r="F615" t="s">
        <v>47</v>
      </c>
      <c r="G615">
        <v>1</v>
      </c>
      <c r="H615" s="2">
        <v>28</v>
      </c>
      <c r="I615" s="2">
        <v>28</v>
      </c>
      <c r="J615" s="2">
        <v>20.27</v>
      </c>
      <c r="K615" s="2">
        <v>7.73</v>
      </c>
      <c r="L615" t="s">
        <v>35</v>
      </c>
    </row>
    <row r="616" spans="1:12" x14ac:dyDescent="0.35">
      <c r="A616" t="s">
        <v>905</v>
      </c>
      <c r="B616">
        <v>45531</v>
      </c>
      <c r="C616" t="s">
        <v>538</v>
      </c>
      <c r="D616" t="s">
        <v>42</v>
      </c>
      <c r="E616" t="s">
        <v>33</v>
      </c>
      <c r="F616" t="s">
        <v>34</v>
      </c>
      <c r="G616">
        <v>4</v>
      </c>
      <c r="H616" s="2">
        <v>40</v>
      </c>
      <c r="I616" s="2">
        <v>160</v>
      </c>
      <c r="J616" s="2">
        <v>123.94</v>
      </c>
      <c r="K616" s="2">
        <v>36.06</v>
      </c>
      <c r="L616" t="s">
        <v>44</v>
      </c>
    </row>
    <row r="617" spans="1:12" x14ac:dyDescent="0.35">
      <c r="A617" t="s">
        <v>906</v>
      </c>
      <c r="B617">
        <v>45604</v>
      </c>
      <c r="C617" t="s">
        <v>46</v>
      </c>
      <c r="D617" t="s">
        <v>14</v>
      </c>
      <c r="E617" t="s">
        <v>15</v>
      </c>
      <c r="F617" t="s">
        <v>20</v>
      </c>
      <c r="G617">
        <v>3</v>
      </c>
      <c r="H617" s="2">
        <v>68</v>
      </c>
      <c r="I617" s="2">
        <v>204</v>
      </c>
      <c r="J617" s="2">
        <v>138.28</v>
      </c>
      <c r="K617" s="2">
        <v>65.72</v>
      </c>
      <c r="L617" t="s">
        <v>35</v>
      </c>
    </row>
    <row r="618" spans="1:12" x14ac:dyDescent="0.35">
      <c r="A618" t="s">
        <v>907</v>
      </c>
      <c r="B618">
        <v>45519</v>
      </c>
      <c r="C618" t="s">
        <v>704</v>
      </c>
      <c r="D618" t="s">
        <v>42</v>
      </c>
      <c r="E618" t="s">
        <v>15</v>
      </c>
      <c r="F618" t="s">
        <v>20</v>
      </c>
      <c r="G618">
        <v>2</v>
      </c>
      <c r="H618" s="2">
        <v>88</v>
      </c>
      <c r="I618" s="2">
        <v>176</v>
      </c>
      <c r="J618" s="2">
        <v>129.66999999999999</v>
      </c>
      <c r="K618" s="2">
        <v>46.33</v>
      </c>
      <c r="L618" t="s">
        <v>44</v>
      </c>
    </row>
    <row r="619" spans="1:12" x14ac:dyDescent="0.35">
      <c r="A619" t="s">
        <v>908</v>
      </c>
      <c r="B619">
        <v>45635</v>
      </c>
      <c r="C619" t="s">
        <v>704</v>
      </c>
      <c r="D619" t="s">
        <v>24</v>
      </c>
      <c r="E619" t="s">
        <v>29</v>
      </c>
      <c r="F619" t="s">
        <v>47</v>
      </c>
      <c r="G619">
        <v>4</v>
      </c>
      <c r="H619" s="2">
        <v>53</v>
      </c>
      <c r="I619" s="2">
        <v>212</v>
      </c>
      <c r="J619" s="2">
        <v>132.33000000000001</v>
      </c>
      <c r="K619" s="2">
        <v>79.67</v>
      </c>
      <c r="L619" t="s">
        <v>17</v>
      </c>
    </row>
    <row r="620" spans="1:12" x14ac:dyDescent="0.35">
      <c r="A620" t="s">
        <v>909</v>
      </c>
      <c r="B620">
        <v>45511</v>
      </c>
      <c r="C620" t="s">
        <v>641</v>
      </c>
      <c r="D620" t="s">
        <v>28</v>
      </c>
      <c r="E620" t="s">
        <v>29</v>
      </c>
      <c r="F620" t="s">
        <v>75</v>
      </c>
      <c r="G620">
        <v>4</v>
      </c>
      <c r="H620" s="2">
        <v>91</v>
      </c>
      <c r="I620" s="2">
        <v>364</v>
      </c>
      <c r="J620" s="2">
        <v>220.7</v>
      </c>
      <c r="K620" s="2">
        <v>143.30000000000001</v>
      </c>
      <c r="L620" t="s">
        <v>44</v>
      </c>
    </row>
    <row r="621" spans="1:12" x14ac:dyDescent="0.35">
      <c r="A621" t="s">
        <v>910</v>
      </c>
      <c r="B621">
        <v>45449</v>
      </c>
      <c r="C621" t="s">
        <v>671</v>
      </c>
      <c r="D621" t="s">
        <v>14</v>
      </c>
      <c r="E621" t="s">
        <v>15</v>
      </c>
      <c r="F621" t="s">
        <v>25</v>
      </c>
      <c r="G621">
        <v>2</v>
      </c>
      <c r="H621" s="2">
        <v>50</v>
      </c>
      <c r="I621" s="2">
        <v>100</v>
      </c>
      <c r="J621" s="2">
        <v>52.21</v>
      </c>
      <c r="K621" s="2">
        <v>47.79</v>
      </c>
      <c r="L621" t="s">
        <v>21</v>
      </c>
    </row>
    <row r="622" spans="1:12" x14ac:dyDescent="0.35">
      <c r="A622" t="s">
        <v>911</v>
      </c>
      <c r="B622">
        <v>45557</v>
      </c>
      <c r="C622" t="s">
        <v>912</v>
      </c>
      <c r="D622" t="s">
        <v>42</v>
      </c>
      <c r="E622" t="s">
        <v>38</v>
      </c>
      <c r="F622" t="s">
        <v>52</v>
      </c>
      <c r="G622">
        <v>5</v>
      </c>
      <c r="H622" s="2">
        <v>86</v>
      </c>
      <c r="I622" s="2">
        <v>430</v>
      </c>
      <c r="J622" s="2">
        <v>221.46</v>
      </c>
      <c r="K622" s="2">
        <v>208.54</v>
      </c>
      <c r="L622" t="s">
        <v>44</v>
      </c>
    </row>
    <row r="623" spans="1:12" x14ac:dyDescent="0.35">
      <c r="A623" t="s">
        <v>913</v>
      </c>
      <c r="B623">
        <v>45538</v>
      </c>
      <c r="C623" t="s">
        <v>720</v>
      </c>
      <c r="D623" t="s">
        <v>42</v>
      </c>
      <c r="E623" t="s">
        <v>33</v>
      </c>
      <c r="F623" t="s">
        <v>55</v>
      </c>
      <c r="G623">
        <v>4</v>
      </c>
      <c r="H623" s="2">
        <v>24</v>
      </c>
      <c r="I623" s="2">
        <v>96</v>
      </c>
      <c r="J623" s="2">
        <v>59.95</v>
      </c>
      <c r="K623" s="2">
        <v>36.049999999999997</v>
      </c>
      <c r="L623" t="s">
        <v>17</v>
      </c>
    </row>
    <row r="624" spans="1:12" x14ac:dyDescent="0.35">
      <c r="A624" t="s">
        <v>914</v>
      </c>
      <c r="B624">
        <v>45415</v>
      </c>
      <c r="C624" t="s">
        <v>541</v>
      </c>
      <c r="D624" t="s">
        <v>14</v>
      </c>
      <c r="E624" t="s">
        <v>38</v>
      </c>
      <c r="F624" t="s">
        <v>39</v>
      </c>
      <c r="G624">
        <v>3</v>
      </c>
      <c r="H624" s="2">
        <v>18</v>
      </c>
      <c r="I624" s="2">
        <v>54</v>
      </c>
      <c r="J624" s="2">
        <v>30.95</v>
      </c>
      <c r="K624" s="2">
        <v>23.05</v>
      </c>
      <c r="L624" t="s">
        <v>21</v>
      </c>
    </row>
    <row r="625" spans="1:12" x14ac:dyDescent="0.35">
      <c r="A625" t="s">
        <v>915</v>
      </c>
      <c r="B625">
        <v>45573</v>
      </c>
      <c r="C625" t="s">
        <v>298</v>
      </c>
      <c r="D625" t="s">
        <v>24</v>
      </c>
      <c r="E625" t="s">
        <v>38</v>
      </c>
      <c r="F625" t="s">
        <v>39</v>
      </c>
      <c r="G625">
        <v>3</v>
      </c>
      <c r="H625" s="2">
        <v>55</v>
      </c>
      <c r="I625" s="2">
        <v>165</v>
      </c>
      <c r="J625" s="2">
        <v>95.66</v>
      </c>
      <c r="K625" s="2">
        <v>69.34</v>
      </c>
      <c r="L625" t="s">
        <v>35</v>
      </c>
    </row>
    <row r="626" spans="1:12" x14ac:dyDescent="0.35">
      <c r="A626" t="s">
        <v>916</v>
      </c>
      <c r="B626">
        <v>45368</v>
      </c>
      <c r="C626" t="s">
        <v>251</v>
      </c>
      <c r="D626" t="s">
        <v>28</v>
      </c>
      <c r="E626" t="s">
        <v>38</v>
      </c>
      <c r="F626" t="s">
        <v>52</v>
      </c>
      <c r="G626">
        <v>3</v>
      </c>
      <c r="H626" s="2">
        <v>38</v>
      </c>
      <c r="I626" s="2">
        <v>114</v>
      </c>
      <c r="J626" s="2">
        <v>77.33</v>
      </c>
      <c r="K626" s="2">
        <v>36.67</v>
      </c>
      <c r="L626" t="s">
        <v>17</v>
      </c>
    </row>
    <row r="627" spans="1:12" x14ac:dyDescent="0.35">
      <c r="A627" t="s">
        <v>917</v>
      </c>
      <c r="B627">
        <v>45406</v>
      </c>
      <c r="C627" t="s">
        <v>181</v>
      </c>
      <c r="D627" t="s">
        <v>14</v>
      </c>
      <c r="E627" t="s">
        <v>33</v>
      </c>
      <c r="F627" t="s">
        <v>34</v>
      </c>
      <c r="G627">
        <v>3</v>
      </c>
      <c r="H627" s="2">
        <v>45</v>
      </c>
      <c r="I627" s="2">
        <v>135</v>
      </c>
      <c r="J627" s="2">
        <v>76.67</v>
      </c>
      <c r="K627" s="2">
        <v>58.33</v>
      </c>
      <c r="L627" t="s">
        <v>21</v>
      </c>
    </row>
    <row r="628" spans="1:12" x14ac:dyDescent="0.35">
      <c r="A628" t="s">
        <v>918</v>
      </c>
      <c r="B628">
        <v>45367</v>
      </c>
      <c r="C628" t="s">
        <v>241</v>
      </c>
      <c r="D628" t="s">
        <v>28</v>
      </c>
      <c r="E628" t="s">
        <v>15</v>
      </c>
      <c r="F628" t="s">
        <v>20</v>
      </c>
      <c r="G628">
        <v>1</v>
      </c>
      <c r="H628" s="2">
        <v>59</v>
      </c>
      <c r="I628" s="2">
        <v>59</v>
      </c>
      <c r="J628" s="2">
        <v>42.75</v>
      </c>
      <c r="K628" s="2">
        <v>16.25</v>
      </c>
      <c r="L628" t="s">
        <v>44</v>
      </c>
    </row>
    <row r="629" spans="1:12" x14ac:dyDescent="0.35">
      <c r="A629" t="s">
        <v>919</v>
      </c>
      <c r="B629">
        <v>45420</v>
      </c>
      <c r="C629" t="s">
        <v>643</v>
      </c>
      <c r="D629" t="s">
        <v>28</v>
      </c>
      <c r="E629" t="s">
        <v>29</v>
      </c>
      <c r="F629" t="s">
        <v>30</v>
      </c>
      <c r="G629">
        <v>5</v>
      </c>
      <c r="H629" s="2">
        <v>29</v>
      </c>
      <c r="I629" s="2">
        <v>145</v>
      </c>
      <c r="J629" s="2">
        <v>86.81</v>
      </c>
      <c r="K629" s="2">
        <v>58.19</v>
      </c>
      <c r="L629" t="s">
        <v>21</v>
      </c>
    </row>
    <row r="630" spans="1:12" x14ac:dyDescent="0.35">
      <c r="A630" t="s">
        <v>920</v>
      </c>
      <c r="B630">
        <v>45592</v>
      </c>
      <c r="C630" t="s">
        <v>349</v>
      </c>
      <c r="D630" t="s">
        <v>14</v>
      </c>
      <c r="E630" t="s">
        <v>15</v>
      </c>
      <c r="F630" t="s">
        <v>16</v>
      </c>
      <c r="G630">
        <v>1</v>
      </c>
      <c r="H630" s="2">
        <v>35</v>
      </c>
      <c r="I630" s="2">
        <v>35</v>
      </c>
      <c r="J630" s="2">
        <v>25.79</v>
      </c>
      <c r="K630" s="2">
        <v>9.2100000000000009</v>
      </c>
      <c r="L630" t="s">
        <v>35</v>
      </c>
    </row>
    <row r="631" spans="1:12" x14ac:dyDescent="0.35">
      <c r="A631" t="s">
        <v>921</v>
      </c>
      <c r="B631">
        <v>45628</v>
      </c>
      <c r="C631" t="s">
        <v>340</v>
      </c>
      <c r="D631" t="s">
        <v>24</v>
      </c>
      <c r="E631" t="s">
        <v>33</v>
      </c>
      <c r="F631" t="s">
        <v>55</v>
      </c>
      <c r="G631">
        <v>1</v>
      </c>
      <c r="H631" s="2">
        <v>82</v>
      </c>
      <c r="I631" s="2">
        <v>82</v>
      </c>
      <c r="J631" s="2">
        <v>41.94</v>
      </c>
      <c r="K631" s="2">
        <v>40.06</v>
      </c>
      <c r="L631" t="s">
        <v>35</v>
      </c>
    </row>
    <row r="632" spans="1:12" x14ac:dyDescent="0.35">
      <c r="A632" t="s">
        <v>922</v>
      </c>
      <c r="B632">
        <v>45642</v>
      </c>
      <c r="C632" t="s">
        <v>923</v>
      </c>
      <c r="D632" t="s">
        <v>42</v>
      </c>
      <c r="E632" t="s">
        <v>33</v>
      </c>
      <c r="F632" t="s">
        <v>55</v>
      </c>
      <c r="G632">
        <v>5</v>
      </c>
      <c r="H632" s="2">
        <v>23</v>
      </c>
      <c r="I632" s="2">
        <v>115</v>
      </c>
      <c r="J632" s="2">
        <v>63.38</v>
      </c>
      <c r="K632" s="2">
        <v>51.62</v>
      </c>
      <c r="L632" t="s">
        <v>17</v>
      </c>
    </row>
    <row r="633" spans="1:12" x14ac:dyDescent="0.35">
      <c r="A633" t="s">
        <v>924</v>
      </c>
      <c r="B633">
        <v>45629</v>
      </c>
      <c r="C633" t="s">
        <v>189</v>
      </c>
      <c r="D633" t="s">
        <v>28</v>
      </c>
      <c r="E633" t="s">
        <v>15</v>
      </c>
      <c r="F633" t="s">
        <v>16</v>
      </c>
      <c r="G633">
        <v>3</v>
      </c>
      <c r="H633" s="2">
        <v>80</v>
      </c>
      <c r="I633" s="2">
        <v>240</v>
      </c>
      <c r="J633" s="2">
        <v>170.01</v>
      </c>
      <c r="K633" s="2">
        <v>69.989999999999995</v>
      </c>
      <c r="L633" t="s">
        <v>44</v>
      </c>
    </row>
    <row r="634" spans="1:12" x14ac:dyDescent="0.35">
      <c r="A634" t="s">
        <v>925</v>
      </c>
      <c r="B634">
        <v>45358</v>
      </c>
      <c r="C634" t="s">
        <v>603</v>
      </c>
      <c r="D634" t="s">
        <v>14</v>
      </c>
      <c r="E634" t="s">
        <v>15</v>
      </c>
      <c r="F634" t="s">
        <v>20</v>
      </c>
      <c r="G634">
        <v>3</v>
      </c>
      <c r="H634" s="2">
        <v>28</v>
      </c>
      <c r="I634" s="2">
        <v>84</v>
      </c>
      <c r="J634" s="2">
        <v>65.599999999999994</v>
      </c>
      <c r="K634" s="2">
        <v>18.399999999999999</v>
      </c>
      <c r="L634" t="s">
        <v>35</v>
      </c>
    </row>
    <row r="635" spans="1:12" x14ac:dyDescent="0.35">
      <c r="A635" t="s">
        <v>926</v>
      </c>
      <c r="B635">
        <v>45380</v>
      </c>
      <c r="C635" t="s">
        <v>120</v>
      </c>
      <c r="D635" t="s">
        <v>24</v>
      </c>
      <c r="E635" t="s">
        <v>33</v>
      </c>
      <c r="F635" t="s">
        <v>34</v>
      </c>
      <c r="G635">
        <v>3</v>
      </c>
      <c r="H635" s="2">
        <v>62</v>
      </c>
      <c r="I635" s="2">
        <v>186</v>
      </c>
      <c r="J635" s="2">
        <v>112.14</v>
      </c>
      <c r="K635" s="2">
        <v>73.86</v>
      </c>
      <c r="L635" t="s">
        <v>44</v>
      </c>
    </row>
    <row r="636" spans="1:12" x14ac:dyDescent="0.35">
      <c r="A636" t="s">
        <v>927</v>
      </c>
      <c r="B636">
        <v>45550</v>
      </c>
      <c r="C636" t="s">
        <v>51</v>
      </c>
      <c r="D636" t="s">
        <v>14</v>
      </c>
      <c r="E636" t="s">
        <v>33</v>
      </c>
      <c r="F636" t="s">
        <v>34</v>
      </c>
      <c r="G636">
        <v>4</v>
      </c>
      <c r="H636" s="2">
        <v>27</v>
      </c>
      <c r="I636" s="2">
        <v>108</v>
      </c>
      <c r="J636" s="2">
        <v>71.84</v>
      </c>
      <c r="K636" s="2">
        <v>36.159999999999997</v>
      </c>
      <c r="L636" t="s">
        <v>21</v>
      </c>
    </row>
    <row r="637" spans="1:12" x14ac:dyDescent="0.35">
      <c r="A637" t="s">
        <v>928</v>
      </c>
      <c r="B637">
        <v>45499</v>
      </c>
      <c r="C637" t="s">
        <v>334</v>
      </c>
      <c r="D637" t="s">
        <v>24</v>
      </c>
      <c r="E637" t="s">
        <v>33</v>
      </c>
      <c r="F637" t="s">
        <v>34</v>
      </c>
      <c r="G637">
        <v>4</v>
      </c>
      <c r="H637" s="2">
        <v>86</v>
      </c>
      <c r="I637" s="2">
        <v>344</v>
      </c>
      <c r="J637" s="2">
        <v>193.17</v>
      </c>
      <c r="K637" s="2">
        <v>150.83000000000001</v>
      </c>
      <c r="L637" t="s">
        <v>44</v>
      </c>
    </row>
    <row r="638" spans="1:12" x14ac:dyDescent="0.35">
      <c r="A638" t="s">
        <v>929</v>
      </c>
      <c r="B638">
        <v>45546</v>
      </c>
      <c r="C638" t="s">
        <v>46</v>
      </c>
      <c r="D638" t="s">
        <v>42</v>
      </c>
      <c r="E638" t="s">
        <v>29</v>
      </c>
      <c r="F638" t="s">
        <v>43</v>
      </c>
      <c r="G638">
        <v>2</v>
      </c>
      <c r="H638" s="2">
        <v>28</v>
      </c>
      <c r="I638" s="2">
        <v>56</v>
      </c>
      <c r="J638" s="2">
        <v>30.89</v>
      </c>
      <c r="K638" s="2">
        <v>25.11</v>
      </c>
      <c r="L638" t="s">
        <v>21</v>
      </c>
    </row>
    <row r="639" spans="1:12" x14ac:dyDescent="0.35">
      <c r="A639" t="s">
        <v>930</v>
      </c>
      <c r="B639">
        <v>45470</v>
      </c>
      <c r="C639" t="s">
        <v>253</v>
      </c>
      <c r="D639" t="s">
        <v>28</v>
      </c>
      <c r="E639" t="s">
        <v>38</v>
      </c>
      <c r="F639" t="s">
        <v>39</v>
      </c>
      <c r="G639">
        <v>4</v>
      </c>
      <c r="H639" s="2">
        <v>57</v>
      </c>
      <c r="I639" s="2">
        <v>228</v>
      </c>
      <c r="J639" s="2">
        <v>145.01</v>
      </c>
      <c r="K639" s="2">
        <v>82.99</v>
      </c>
      <c r="L639" t="s">
        <v>35</v>
      </c>
    </row>
    <row r="640" spans="1:12" x14ac:dyDescent="0.35">
      <c r="A640" t="s">
        <v>931</v>
      </c>
      <c r="B640">
        <v>45303</v>
      </c>
      <c r="C640" t="s">
        <v>810</v>
      </c>
      <c r="D640" t="s">
        <v>24</v>
      </c>
      <c r="E640" t="s">
        <v>29</v>
      </c>
      <c r="F640" t="s">
        <v>75</v>
      </c>
      <c r="G640">
        <v>1</v>
      </c>
      <c r="H640" s="2">
        <v>77</v>
      </c>
      <c r="I640" s="2">
        <v>77</v>
      </c>
      <c r="J640" s="2">
        <v>51.38</v>
      </c>
      <c r="K640" s="2">
        <v>25.62</v>
      </c>
      <c r="L640" t="s">
        <v>21</v>
      </c>
    </row>
    <row r="641" spans="1:12" x14ac:dyDescent="0.35">
      <c r="A641" t="s">
        <v>932</v>
      </c>
      <c r="B641">
        <v>45353</v>
      </c>
      <c r="C641" t="s">
        <v>442</v>
      </c>
      <c r="D641" t="s">
        <v>14</v>
      </c>
      <c r="E641" t="s">
        <v>15</v>
      </c>
      <c r="F641" t="s">
        <v>16</v>
      </c>
      <c r="G641">
        <v>5</v>
      </c>
      <c r="H641" s="2">
        <v>74</v>
      </c>
      <c r="I641" s="2">
        <v>370</v>
      </c>
      <c r="J641" s="2">
        <v>256.20999999999998</v>
      </c>
      <c r="K641" s="2">
        <v>113.79</v>
      </c>
      <c r="L641" t="s">
        <v>17</v>
      </c>
    </row>
    <row r="642" spans="1:12" x14ac:dyDescent="0.35">
      <c r="A642" t="s">
        <v>933</v>
      </c>
      <c r="B642">
        <v>45403</v>
      </c>
      <c r="C642" t="s">
        <v>64</v>
      </c>
      <c r="D642" t="s">
        <v>42</v>
      </c>
      <c r="E642" t="s">
        <v>38</v>
      </c>
      <c r="F642" t="s">
        <v>52</v>
      </c>
      <c r="G642">
        <v>5</v>
      </c>
      <c r="H642" s="2">
        <v>79</v>
      </c>
      <c r="I642" s="2">
        <v>395</v>
      </c>
      <c r="J642" s="2">
        <v>297.3</v>
      </c>
      <c r="K642" s="2">
        <v>97.7</v>
      </c>
      <c r="L642" t="s">
        <v>35</v>
      </c>
    </row>
    <row r="643" spans="1:12" x14ac:dyDescent="0.35">
      <c r="A643" t="s">
        <v>934</v>
      </c>
      <c r="B643">
        <v>45371</v>
      </c>
      <c r="C643" t="s">
        <v>601</v>
      </c>
      <c r="D643" t="s">
        <v>28</v>
      </c>
      <c r="E643" t="s">
        <v>33</v>
      </c>
      <c r="F643" t="s">
        <v>34</v>
      </c>
      <c r="G643">
        <v>4</v>
      </c>
      <c r="H643" s="2">
        <v>11</v>
      </c>
      <c r="I643" s="2">
        <v>44</v>
      </c>
      <c r="J643" s="2">
        <v>24.78</v>
      </c>
      <c r="K643" s="2">
        <v>19.22</v>
      </c>
      <c r="L643" t="s">
        <v>35</v>
      </c>
    </row>
    <row r="644" spans="1:12" x14ac:dyDescent="0.35">
      <c r="A644" t="s">
        <v>935</v>
      </c>
      <c r="B644">
        <v>45614</v>
      </c>
      <c r="C644" t="s">
        <v>783</v>
      </c>
      <c r="D644" t="s">
        <v>28</v>
      </c>
      <c r="E644" t="s">
        <v>15</v>
      </c>
      <c r="F644" t="s">
        <v>25</v>
      </c>
      <c r="G644">
        <v>3</v>
      </c>
      <c r="H644" s="2">
        <v>81</v>
      </c>
      <c r="I644" s="2">
        <v>243</v>
      </c>
      <c r="J644" s="2">
        <v>179.28</v>
      </c>
      <c r="K644" s="2">
        <v>63.72</v>
      </c>
      <c r="L644" t="s">
        <v>17</v>
      </c>
    </row>
    <row r="645" spans="1:12" x14ac:dyDescent="0.35">
      <c r="A645" t="s">
        <v>936</v>
      </c>
      <c r="B645">
        <v>45565</v>
      </c>
      <c r="C645" t="s">
        <v>257</v>
      </c>
      <c r="D645" t="s">
        <v>28</v>
      </c>
      <c r="E645" t="s">
        <v>15</v>
      </c>
      <c r="F645" t="s">
        <v>20</v>
      </c>
      <c r="G645">
        <v>4</v>
      </c>
      <c r="H645" s="2">
        <v>51</v>
      </c>
      <c r="I645" s="2">
        <v>204</v>
      </c>
      <c r="J645" s="2">
        <v>110.21</v>
      </c>
      <c r="K645" s="2">
        <v>93.79</v>
      </c>
      <c r="L645" t="s">
        <v>17</v>
      </c>
    </row>
    <row r="646" spans="1:12" x14ac:dyDescent="0.35">
      <c r="A646" t="s">
        <v>937</v>
      </c>
      <c r="B646">
        <v>45329</v>
      </c>
      <c r="C646" t="s">
        <v>130</v>
      </c>
      <c r="D646" t="s">
        <v>42</v>
      </c>
      <c r="E646" t="s">
        <v>33</v>
      </c>
      <c r="F646" t="s">
        <v>92</v>
      </c>
      <c r="G646">
        <v>1</v>
      </c>
      <c r="H646" s="2">
        <v>100</v>
      </c>
      <c r="I646" s="2">
        <v>100</v>
      </c>
      <c r="J646" s="2">
        <v>61.63</v>
      </c>
      <c r="K646" s="2">
        <v>38.369999999999997</v>
      </c>
      <c r="L646" t="s">
        <v>35</v>
      </c>
    </row>
    <row r="647" spans="1:12" x14ac:dyDescent="0.35">
      <c r="A647" t="s">
        <v>938</v>
      </c>
      <c r="B647">
        <v>45381</v>
      </c>
      <c r="C647" t="s">
        <v>338</v>
      </c>
      <c r="D647" t="s">
        <v>14</v>
      </c>
      <c r="E647" t="s">
        <v>15</v>
      </c>
      <c r="F647" t="s">
        <v>16</v>
      </c>
      <c r="G647">
        <v>1</v>
      </c>
      <c r="H647" s="2">
        <v>21</v>
      </c>
      <c r="I647" s="2">
        <v>21</v>
      </c>
      <c r="J647" s="2">
        <v>16.52</v>
      </c>
      <c r="K647" s="2">
        <v>4.4800000000000004</v>
      </c>
      <c r="L647" t="s">
        <v>21</v>
      </c>
    </row>
    <row r="648" spans="1:12" x14ac:dyDescent="0.35">
      <c r="A648" t="s">
        <v>939</v>
      </c>
      <c r="B648">
        <v>45566</v>
      </c>
      <c r="C648" t="s">
        <v>312</v>
      </c>
      <c r="D648" t="s">
        <v>24</v>
      </c>
      <c r="E648" t="s">
        <v>38</v>
      </c>
      <c r="F648" t="s">
        <v>52</v>
      </c>
      <c r="G648">
        <v>3</v>
      </c>
      <c r="H648" s="2">
        <v>40</v>
      </c>
      <c r="I648" s="2">
        <v>120</v>
      </c>
      <c r="J648" s="2">
        <v>72.03</v>
      </c>
      <c r="K648" s="2">
        <v>47.97</v>
      </c>
      <c r="L648" t="s">
        <v>35</v>
      </c>
    </row>
    <row r="649" spans="1:12" x14ac:dyDescent="0.35">
      <c r="A649" t="s">
        <v>940</v>
      </c>
      <c r="B649">
        <v>45503</v>
      </c>
      <c r="C649" t="s">
        <v>410</v>
      </c>
      <c r="D649" t="s">
        <v>42</v>
      </c>
      <c r="E649" t="s">
        <v>15</v>
      </c>
      <c r="F649" t="s">
        <v>25</v>
      </c>
      <c r="G649">
        <v>2</v>
      </c>
      <c r="H649" s="2">
        <v>69</v>
      </c>
      <c r="I649" s="2">
        <v>138</v>
      </c>
      <c r="J649" s="2">
        <v>92.71</v>
      </c>
      <c r="K649" s="2">
        <v>45.29</v>
      </c>
      <c r="L649" t="s">
        <v>35</v>
      </c>
    </row>
    <row r="650" spans="1:12" x14ac:dyDescent="0.35">
      <c r="A650" t="s">
        <v>941</v>
      </c>
      <c r="B650">
        <v>45309</v>
      </c>
      <c r="C650" t="s">
        <v>942</v>
      </c>
      <c r="D650" t="s">
        <v>42</v>
      </c>
      <c r="E650" t="s">
        <v>33</v>
      </c>
      <c r="F650" t="s">
        <v>92</v>
      </c>
      <c r="G650">
        <v>1</v>
      </c>
      <c r="H650" s="2">
        <v>87</v>
      </c>
      <c r="I650" s="2">
        <v>87</v>
      </c>
      <c r="J650" s="2">
        <v>48.57</v>
      </c>
      <c r="K650" s="2">
        <v>38.43</v>
      </c>
      <c r="L650" t="s">
        <v>44</v>
      </c>
    </row>
    <row r="651" spans="1:12" x14ac:dyDescent="0.35">
      <c r="A651" t="s">
        <v>943</v>
      </c>
      <c r="B651">
        <v>45611</v>
      </c>
      <c r="C651" t="s">
        <v>710</v>
      </c>
      <c r="D651" t="s">
        <v>14</v>
      </c>
      <c r="E651" t="s">
        <v>29</v>
      </c>
      <c r="F651" t="s">
        <v>75</v>
      </c>
      <c r="G651">
        <v>3</v>
      </c>
      <c r="H651" s="2">
        <v>84</v>
      </c>
      <c r="I651" s="2">
        <v>252</v>
      </c>
      <c r="J651" s="2">
        <v>133.85</v>
      </c>
      <c r="K651" s="2">
        <v>118.15</v>
      </c>
      <c r="L651" t="s">
        <v>44</v>
      </c>
    </row>
    <row r="652" spans="1:12" x14ac:dyDescent="0.35">
      <c r="A652" t="s">
        <v>944</v>
      </c>
      <c r="B652">
        <v>45569</v>
      </c>
      <c r="C652" t="s">
        <v>308</v>
      </c>
      <c r="D652" t="s">
        <v>28</v>
      </c>
      <c r="E652" t="s">
        <v>38</v>
      </c>
      <c r="F652" t="s">
        <v>58</v>
      </c>
      <c r="G652">
        <v>2</v>
      </c>
      <c r="H652" s="2">
        <v>91</v>
      </c>
      <c r="I652" s="2">
        <v>182</v>
      </c>
      <c r="J652" s="2">
        <v>91.73</v>
      </c>
      <c r="K652" s="2">
        <v>90.27</v>
      </c>
      <c r="L652" t="s">
        <v>21</v>
      </c>
    </row>
    <row r="653" spans="1:12" x14ac:dyDescent="0.35">
      <c r="A653" t="s">
        <v>945</v>
      </c>
      <c r="B653">
        <v>45423</v>
      </c>
      <c r="C653" t="s">
        <v>68</v>
      </c>
      <c r="D653" t="s">
        <v>14</v>
      </c>
      <c r="E653" t="s">
        <v>33</v>
      </c>
      <c r="F653" t="s">
        <v>34</v>
      </c>
      <c r="G653">
        <v>5</v>
      </c>
      <c r="H653" s="2">
        <v>22</v>
      </c>
      <c r="I653" s="2">
        <v>110</v>
      </c>
      <c r="J653" s="2">
        <v>84.8</v>
      </c>
      <c r="K653" s="2">
        <v>25.2</v>
      </c>
      <c r="L653" t="s">
        <v>17</v>
      </c>
    </row>
    <row r="654" spans="1:12" x14ac:dyDescent="0.35">
      <c r="A654" t="s">
        <v>946</v>
      </c>
      <c r="B654">
        <v>45400</v>
      </c>
      <c r="C654" t="s">
        <v>320</v>
      </c>
      <c r="D654" t="s">
        <v>24</v>
      </c>
      <c r="E654" t="s">
        <v>33</v>
      </c>
      <c r="F654" t="s">
        <v>34</v>
      </c>
      <c r="G654">
        <v>1</v>
      </c>
      <c r="H654" s="2">
        <v>13</v>
      </c>
      <c r="I654" s="2">
        <v>13</v>
      </c>
      <c r="J654" s="2">
        <v>7.12</v>
      </c>
      <c r="K654" s="2">
        <v>5.88</v>
      </c>
      <c r="L654" t="s">
        <v>35</v>
      </c>
    </row>
    <row r="655" spans="1:12" x14ac:dyDescent="0.35">
      <c r="A655" t="s">
        <v>947</v>
      </c>
      <c r="B655">
        <v>45395</v>
      </c>
      <c r="C655" t="s">
        <v>568</v>
      </c>
      <c r="D655" t="s">
        <v>24</v>
      </c>
      <c r="E655" t="s">
        <v>29</v>
      </c>
      <c r="F655" t="s">
        <v>75</v>
      </c>
      <c r="G655">
        <v>1</v>
      </c>
      <c r="H655" s="2">
        <v>65</v>
      </c>
      <c r="I655" s="2">
        <v>65</v>
      </c>
      <c r="J655" s="2">
        <v>39.130000000000003</v>
      </c>
      <c r="K655" s="2">
        <v>25.87</v>
      </c>
      <c r="L655" t="s">
        <v>17</v>
      </c>
    </row>
    <row r="656" spans="1:12" x14ac:dyDescent="0.35">
      <c r="A656" t="s">
        <v>948</v>
      </c>
      <c r="B656">
        <v>45365</v>
      </c>
      <c r="C656" t="s">
        <v>521</v>
      </c>
      <c r="D656" t="s">
        <v>42</v>
      </c>
      <c r="E656" t="s">
        <v>15</v>
      </c>
      <c r="F656" t="s">
        <v>20</v>
      </c>
      <c r="G656">
        <v>2</v>
      </c>
      <c r="H656" s="2">
        <v>46</v>
      </c>
      <c r="I656" s="2">
        <v>92</v>
      </c>
      <c r="J656" s="2">
        <v>50.22</v>
      </c>
      <c r="K656" s="2">
        <v>41.78</v>
      </c>
      <c r="L656" t="s">
        <v>21</v>
      </c>
    </row>
    <row r="657" spans="1:12" x14ac:dyDescent="0.35">
      <c r="A657" t="s">
        <v>949</v>
      </c>
      <c r="B657">
        <v>45654</v>
      </c>
      <c r="C657" t="s">
        <v>950</v>
      </c>
      <c r="D657" t="s">
        <v>14</v>
      </c>
      <c r="E657" t="s">
        <v>29</v>
      </c>
      <c r="F657" t="s">
        <v>75</v>
      </c>
      <c r="G657">
        <v>3</v>
      </c>
      <c r="H657" s="2">
        <v>40</v>
      </c>
      <c r="I657" s="2">
        <v>120</v>
      </c>
      <c r="J657" s="2">
        <v>72.17</v>
      </c>
      <c r="K657" s="2">
        <v>47.83</v>
      </c>
      <c r="L657" t="s">
        <v>17</v>
      </c>
    </row>
    <row r="658" spans="1:12" x14ac:dyDescent="0.35">
      <c r="A658" t="s">
        <v>951</v>
      </c>
      <c r="B658">
        <v>45514</v>
      </c>
      <c r="C658" t="s">
        <v>138</v>
      </c>
      <c r="D658" t="s">
        <v>28</v>
      </c>
      <c r="E658" t="s">
        <v>38</v>
      </c>
      <c r="F658" t="s">
        <v>52</v>
      </c>
      <c r="G658">
        <v>4</v>
      </c>
      <c r="H658" s="2">
        <v>100</v>
      </c>
      <c r="I658" s="2">
        <v>400</v>
      </c>
      <c r="J658" s="2">
        <v>241.41</v>
      </c>
      <c r="K658" s="2">
        <v>158.59</v>
      </c>
      <c r="L658" t="s">
        <v>44</v>
      </c>
    </row>
    <row r="659" spans="1:12" x14ac:dyDescent="0.35">
      <c r="A659" t="s">
        <v>952</v>
      </c>
      <c r="B659">
        <v>45463</v>
      </c>
      <c r="C659" t="s">
        <v>618</v>
      </c>
      <c r="D659" t="s">
        <v>42</v>
      </c>
      <c r="E659" t="s">
        <v>33</v>
      </c>
      <c r="F659" t="s">
        <v>92</v>
      </c>
      <c r="G659">
        <v>3</v>
      </c>
      <c r="H659" s="2">
        <v>98</v>
      </c>
      <c r="I659" s="2">
        <v>294</v>
      </c>
      <c r="J659" s="2">
        <v>220.3</v>
      </c>
      <c r="K659" s="2">
        <v>73.7</v>
      </c>
      <c r="L659" t="s">
        <v>35</v>
      </c>
    </row>
    <row r="660" spans="1:12" x14ac:dyDescent="0.35">
      <c r="A660" t="s">
        <v>953</v>
      </c>
      <c r="B660">
        <v>45490</v>
      </c>
      <c r="C660" t="s">
        <v>402</v>
      </c>
      <c r="D660" t="s">
        <v>28</v>
      </c>
      <c r="E660" t="s">
        <v>33</v>
      </c>
      <c r="F660" t="s">
        <v>34</v>
      </c>
      <c r="G660">
        <v>5</v>
      </c>
      <c r="H660" s="2">
        <v>60</v>
      </c>
      <c r="I660" s="2">
        <v>300</v>
      </c>
      <c r="J660" s="2">
        <v>215.72</v>
      </c>
      <c r="K660" s="2">
        <v>84.28</v>
      </c>
      <c r="L660" t="s">
        <v>35</v>
      </c>
    </row>
    <row r="661" spans="1:12" x14ac:dyDescent="0.35">
      <c r="A661" t="s">
        <v>954</v>
      </c>
      <c r="B661">
        <v>45357</v>
      </c>
      <c r="C661" t="s">
        <v>483</v>
      </c>
      <c r="D661" t="s">
        <v>42</v>
      </c>
      <c r="E661" t="s">
        <v>15</v>
      </c>
      <c r="F661" t="s">
        <v>16</v>
      </c>
      <c r="G661">
        <v>5</v>
      </c>
      <c r="H661" s="2">
        <v>28</v>
      </c>
      <c r="I661" s="2">
        <v>140</v>
      </c>
      <c r="J661" s="2">
        <v>82.16</v>
      </c>
      <c r="K661" s="2">
        <v>57.84</v>
      </c>
      <c r="L661" t="s">
        <v>35</v>
      </c>
    </row>
    <row r="662" spans="1:12" x14ac:dyDescent="0.35">
      <c r="A662" t="s">
        <v>955</v>
      </c>
      <c r="B662">
        <v>45307</v>
      </c>
      <c r="C662" t="s">
        <v>459</v>
      </c>
      <c r="D662" t="s">
        <v>42</v>
      </c>
      <c r="E662" t="s">
        <v>33</v>
      </c>
      <c r="F662" t="s">
        <v>34</v>
      </c>
      <c r="G662">
        <v>1</v>
      </c>
      <c r="H662" s="2">
        <v>11</v>
      </c>
      <c r="I662" s="2">
        <v>11</v>
      </c>
      <c r="J662" s="2">
        <v>6.34</v>
      </c>
      <c r="K662" s="2">
        <v>4.66</v>
      </c>
      <c r="L662" t="s">
        <v>17</v>
      </c>
    </row>
    <row r="663" spans="1:12" x14ac:dyDescent="0.35">
      <c r="A663" t="s">
        <v>956</v>
      </c>
      <c r="B663">
        <v>45460</v>
      </c>
      <c r="C663" t="s">
        <v>122</v>
      </c>
      <c r="D663" t="s">
        <v>24</v>
      </c>
      <c r="E663" t="s">
        <v>33</v>
      </c>
      <c r="F663" t="s">
        <v>92</v>
      </c>
      <c r="G663">
        <v>4</v>
      </c>
      <c r="H663" s="2">
        <v>15</v>
      </c>
      <c r="I663" s="2">
        <v>60</v>
      </c>
      <c r="J663" s="2">
        <v>47.85</v>
      </c>
      <c r="K663" s="2">
        <v>12.15</v>
      </c>
      <c r="L663" t="s">
        <v>21</v>
      </c>
    </row>
    <row r="664" spans="1:12" x14ac:dyDescent="0.35">
      <c r="A664" t="s">
        <v>957</v>
      </c>
      <c r="B664">
        <v>45544</v>
      </c>
      <c r="C664" t="s">
        <v>762</v>
      </c>
      <c r="D664" t="s">
        <v>28</v>
      </c>
      <c r="E664" t="s">
        <v>29</v>
      </c>
      <c r="F664" t="s">
        <v>47</v>
      </c>
      <c r="G664">
        <v>1</v>
      </c>
      <c r="H664" s="2">
        <v>88</v>
      </c>
      <c r="I664" s="2">
        <v>88</v>
      </c>
      <c r="J664" s="2">
        <v>67.13</v>
      </c>
      <c r="K664" s="2">
        <v>20.87</v>
      </c>
      <c r="L664" t="s">
        <v>17</v>
      </c>
    </row>
    <row r="665" spans="1:12" x14ac:dyDescent="0.35">
      <c r="A665" t="s">
        <v>958</v>
      </c>
      <c r="B665">
        <v>45345</v>
      </c>
      <c r="C665" t="s">
        <v>671</v>
      </c>
      <c r="D665" t="s">
        <v>42</v>
      </c>
      <c r="E665" t="s">
        <v>15</v>
      </c>
      <c r="F665" t="s">
        <v>20</v>
      </c>
      <c r="G665">
        <v>4</v>
      </c>
      <c r="H665" s="2">
        <v>78</v>
      </c>
      <c r="I665" s="2">
        <v>312</v>
      </c>
      <c r="J665" s="2">
        <v>200.15</v>
      </c>
      <c r="K665" s="2">
        <v>111.85</v>
      </c>
      <c r="L665" t="s">
        <v>21</v>
      </c>
    </row>
    <row r="666" spans="1:12" x14ac:dyDescent="0.35">
      <c r="A666" t="s">
        <v>959</v>
      </c>
      <c r="B666">
        <v>45476</v>
      </c>
      <c r="C666" t="s">
        <v>259</v>
      </c>
      <c r="D666" t="s">
        <v>28</v>
      </c>
      <c r="E666" t="s">
        <v>15</v>
      </c>
      <c r="F666" t="s">
        <v>16</v>
      </c>
      <c r="G666">
        <v>4</v>
      </c>
      <c r="H666" s="2">
        <v>40</v>
      </c>
      <c r="I666" s="2">
        <v>160</v>
      </c>
      <c r="J666" s="2">
        <v>81.37</v>
      </c>
      <c r="K666" s="2">
        <v>78.63</v>
      </c>
      <c r="L666" t="s">
        <v>44</v>
      </c>
    </row>
    <row r="667" spans="1:12" x14ac:dyDescent="0.35">
      <c r="A667" t="s">
        <v>960</v>
      </c>
      <c r="B667">
        <v>45550</v>
      </c>
      <c r="C667" t="s">
        <v>538</v>
      </c>
      <c r="D667" t="s">
        <v>14</v>
      </c>
      <c r="E667" t="s">
        <v>15</v>
      </c>
      <c r="F667" t="s">
        <v>25</v>
      </c>
      <c r="G667">
        <v>2</v>
      </c>
      <c r="H667" s="2">
        <v>92</v>
      </c>
      <c r="I667" s="2">
        <v>184</v>
      </c>
      <c r="J667" s="2">
        <v>109.7</v>
      </c>
      <c r="K667" s="2">
        <v>74.3</v>
      </c>
      <c r="L667" t="s">
        <v>17</v>
      </c>
    </row>
    <row r="668" spans="1:12" x14ac:dyDescent="0.35">
      <c r="A668" t="s">
        <v>961</v>
      </c>
      <c r="B668">
        <v>45326</v>
      </c>
      <c r="C668" t="s">
        <v>912</v>
      </c>
      <c r="D668" t="s">
        <v>42</v>
      </c>
      <c r="E668" t="s">
        <v>33</v>
      </c>
      <c r="F668" t="s">
        <v>92</v>
      </c>
      <c r="G668">
        <v>3</v>
      </c>
      <c r="H668" s="2">
        <v>92</v>
      </c>
      <c r="I668" s="2">
        <v>276</v>
      </c>
      <c r="J668" s="2">
        <v>213.55</v>
      </c>
      <c r="K668" s="2">
        <v>62.45</v>
      </c>
      <c r="L668" t="s">
        <v>44</v>
      </c>
    </row>
    <row r="669" spans="1:12" x14ac:dyDescent="0.35">
      <c r="A669" t="s">
        <v>962</v>
      </c>
      <c r="B669">
        <v>45440</v>
      </c>
      <c r="C669" t="s">
        <v>572</v>
      </c>
      <c r="D669" t="s">
        <v>24</v>
      </c>
      <c r="E669" t="s">
        <v>15</v>
      </c>
      <c r="F669" t="s">
        <v>20</v>
      </c>
      <c r="G669">
        <v>5</v>
      </c>
      <c r="H669" s="2">
        <v>29</v>
      </c>
      <c r="I669" s="2">
        <v>145</v>
      </c>
      <c r="J669" s="2">
        <v>114.56</v>
      </c>
      <c r="K669" s="2">
        <v>30.44</v>
      </c>
      <c r="L669" t="s">
        <v>44</v>
      </c>
    </row>
    <row r="670" spans="1:12" x14ac:dyDescent="0.35">
      <c r="A670" t="s">
        <v>963</v>
      </c>
      <c r="B670">
        <v>45453</v>
      </c>
      <c r="C670" t="s">
        <v>885</v>
      </c>
      <c r="D670" t="s">
        <v>28</v>
      </c>
      <c r="E670" t="s">
        <v>15</v>
      </c>
      <c r="F670" t="s">
        <v>20</v>
      </c>
      <c r="G670">
        <v>2</v>
      </c>
      <c r="H670" s="2">
        <v>80</v>
      </c>
      <c r="I670" s="2">
        <v>160</v>
      </c>
      <c r="J670" s="2">
        <v>107.58</v>
      </c>
      <c r="K670" s="2">
        <v>52.42</v>
      </c>
      <c r="L670" t="s">
        <v>21</v>
      </c>
    </row>
    <row r="671" spans="1:12" x14ac:dyDescent="0.35">
      <c r="A671" t="s">
        <v>964</v>
      </c>
      <c r="B671">
        <v>45437</v>
      </c>
      <c r="C671" t="s">
        <v>64</v>
      </c>
      <c r="D671" t="s">
        <v>14</v>
      </c>
      <c r="E671" t="s">
        <v>33</v>
      </c>
      <c r="F671" t="s">
        <v>55</v>
      </c>
      <c r="G671">
        <v>5</v>
      </c>
      <c r="H671" s="2">
        <v>100</v>
      </c>
      <c r="I671" s="2">
        <v>500</v>
      </c>
      <c r="J671" s="2">
        <v>322.60000000000002</v>
      </c>
      <c r="K671" s="2">
        <v>177.4</v>
      </c>
      <c r="L671" t="s">
        <v>35</v>
      </c>
    </row>
    <row r="672" spans="1:12" x14ac:dyDescent="0.35">
      <c r="A672" t="s">
        <v>965</v>
      </c>
      <c r="B672">
        <v>45472</v>
      </c>
      <c r="C672" t="s">
        <v>211</v>
      </c>
      <c r="D672" t="s">
        <v>14</v>
      </c>
      <c r="E672" t="s">
        <v>33</v>
      </c>
      <c r="F672" t="s">
        <v>34</v>
      </c>
      <c r="G672">
        <v>2</v>
      </c>
      <c r="H672" s="2">
        <v>93</v>
      </c>
      <c r="I672" s="2">
        <v>186</v>
      </c>
      <c r="J672" s="2">
        <v>94.56</v>
      </c>
      <c r="K672" s="2">
        <v>91.44</v>
      </c>
      <c r="L672" t="s">
        <v>21</v>
      </c>
    </row>
    <row r="673" spans="1:12" x14ac:dyDescent="0.35">
      <c r="A673" t="s">
        <v>966</v>
      </c>
      <c r="B673">
        <v>45399</v>
      </c>
      <c r="C673" t="s">
        <v>85</v>
      </c>
      <c r="D673" t="s">
        <v>14</v>
      </c>
      <c r="E673" t="s">
        <v>33</v>
      </c>
      <c r="F673" t="s">
        <v>55</v>
      </c>
      <c r="G673">
        <v>4</v>
      </c>
      <c r="H673" s="2">
        <v>13</v>
      </c>
      <c r="I673" s="2">
        <v>52</v>
      </c>
      <c r="J673" s="2">
        <v>33.99</v>
      </c>
      <c r="K673" s="2">
        <v>18.010000000000002</v>
      </c>
      <c r="L673" t="s">
        <v>21</v>
      </c>
    </row>
    <row r="674" spans="1:12" x14ac:dyDescent="0.35">
      <c r="A674" t="s">
        <v>967</v>
      </c>
      <c r="B674">
        <v>45302</v>
      </c>
      <c r="C674" t="s">
        <v>516</v>
      </c>
      <c r="D674" t="s">
        <v>28</v>
      </c>
      <c r="E674" t="s">
        <v>38</v>
      </c>
      <c r="F674" t="s">
        <v>39</v>
      </c>
      <c r="G674">
        <v>2</v>
      </c>
      <c r="H674" s="2">
        <v>28</v>
      </c>
      <c r="I674" s="2">
        <v>56</v>
      </c>
      <c r="J674" s="2">
        <v>44.37</v>
      </c>
      <c r="K674" s="2">
        <v>11.63</v>
      </c>
      <c r="L674" t="s">
        <v>35</v>
      </c>
    </row>
    <row r="675" spans="1:12" x14ac:dyDescent="0.35">
      <c r="A675" t="s">
        <v>968</v>
      </c>
      <c r="B675">
        <v>45431</v>
      </c>
      <c r="C675" t="s">
        <v>134</v>
      </c>
      <c r="D675" t="s">
        <v>14</v>
      </c>
      <c r="E675" t="s">
        <v>38</v>
      </c>
      <c r="F675" t="s">
        <v>52</v>
      </c>
      <c r="G675">
        <v>3</v>
      </c>
      <c r="H675" s="2">
        <v>82</v>
      </c>
      <c r="I675" s="2">
        <v>246</v>
      </c>
      <c r="J675" s="2">
        <v>143.44</v>
      </c>
      <c r="K675" s="2">
        <v>102.56</v>
      </c>
      <c r="L675" t="s">
        <v>44</v>
      </c>
    </row>
    <row r="676" spans="1:12" x14ac:dyDescent="0.35">
      <c r="A676" t="s">
        <v>969</v>
      </c>
      <c r="B676">
        <v>45522</v>
      </c>
      <c r="C676" t="s">
        <v>842</v>
      </c>
      <c r="D676" t="s">
        <v>28</v>
      </c>
      <c r="E676" t="s">
        <v>38</v>
      </c>
      <c r="F676" t="s">
        <v>39</v>
      </c>
      <c r="G676">
        <v>5</v>
      </c>
      <c r="H676" s="2">
        <v>74</v>
      </c>
      <c r="I676" s="2">
        <v>370</v>
      </c>
      <c r="J676" s="2">
        <v>211.37</v>
      </c>
      <c r="K676" s="2">
        <v>158.63</v>
      </c>
      <c r="L676" t="s">
        <v>21</v>
      </c>
    </row>
    <row r="677" spans="1:12" x14ac:dyDescent="0.35">
      <c r="A677" t="s">
        <v>970</v>
      </c>
      <c r="B677">
        <v>45337</v>
      </c>
      <c r="C677" t="s">
        <v>762</v>
      </c>
      <c r="D677" t="s">
        <v>28</v>
      </c>
      <c r="E677" t="s">
        <v>15</v>
      </c>
      <c r="F677" t="s">
        <v>20</v>
      </c>
      <c r="G677">
        <v>2</v>
      </c>
      <c r="H677" s="2">
        <v>42</v>
      </c>
      <c r="I677" s="2">
        <v>84</v>
      </c>
      <c r="J677" s="2">
        <v>60.03</v>
      </c>
      <c r="K677" s="2">
        <v>23.97</v>
      </c>
      <c r="L677" t="s">
        <v>35</v>
      </c>
    </row>
    <row r="678" spans="1:12" x14ac:dyDescent="0.35">
      <c r="A678" t="s">
        <v>971</v>
      </c>
      <c r="B678">
        <v>45596</v>
      </c>
      <c r="C678" t="s">
        <v>972</v>
      </c>
      <c r="D678" t="s">
        <v>28</v>
      </c>
      <c r="E678" t="s">
        <v>15</v>
      </c>
      <c r="F678" t="s">
        <v>16</v>
      </c>
      <c r="G678">
        <v>3</v>
      </c>
      <c r="H678" s="2">
        <v>91</v>
      </c>
      <c r="I678" s="2">
        <v>273</v>
      </c>
      <c r="J678" s="2">
        <v>208.29</v>
      </c>
      <c r="K678" s="2">
        <v>64.709999999999994</v>
      </c>
      <c r="L678" t="s">
        <v>21</v>
      </c>
    </row>
    <row r="679" spans="1:12" x14ac:dyDescent="0.35">
      <c r="A679" t="s">
        <v>973</v>
      </c>
      <c r="B679">
        <v>45418</v>
      </c>
      <c r="C679" t="s">
        <v>974</v>
      </c>
      <c r="D679" t="s">
        <v>14</v>
      </c>
      <c r="E679" t="s">
        <v>15</v>
      </c>
      <c r="F679" t="s">
        <v>16</v>
      </c>
      <c r="G679">
        <v>3</v>
      </c>
      <c r="H679" s="2">
        <v>19</v>
      </c>
      <c r="I679" s="2">
        <v>57</v>
      </c>
      <c r="J679" s="2">
        <v>29.41</v>
      </c>
      <c r="K679" s="2">
        <v>27.59</v>
      </c>
      <c r="L679" t="s">
        <v>44</v>
      </c>
    </row>
    <row r="680" spans="1:12" x14ac:dyDescent="0.35">
      <c r="A680" t="s">
        <v>975</v>
      </c>
      <c r="B680">
        <v>45539</v>
      </c>
      <c r="C680" t="s">
        <v>491</v>
      </c>
      <c r="D680" t="s">
        <v>28</v>
      </c>
      <c r="E680" t="s">
        <v>38</v>
      </c>
      <c r="F680" t="s">
        <v>58</v>
      </c>
      <c r="G680">
        <v>4</v>
      </c>
      <c r="H680" s="2">
        <v>43</v>
      </c>
      <c r="I680" s="2">
        <v>172</v>
      </c>
      <c r="J680" s="2">
        <v>126.7</v>
      </c>
      <c r="K680" s="2">
        <v>45.3</v>
      </c>
      <c r="L680" t="s">
        <v>35</v>
      </c>
    </row>
    <row r="681" spans="1:12" x14ac:dyDescent="0.35">
      <c r="A681" t="s">
        <v>976</v>
      </c>
      <c r="B681">
        <v>45428</v>
      </c>
      <c r="C681" t="s">
        <v>805</v>
      </c>
      <c r="D681" t="s">
        <v>42</v>
      </c>
      <c r="E681" t="s">
        <v>38</v>
      </c>
      <c r="F681" t="s">
        <v>58</v>
      </c>
      <c r="G681">
        <v>2</v>
      </c>
      <c r="H681" s="2">
        <v>98</v>
      </c>
      <c r="I681" s="2">
        <v>196</v>
      </c>
      <c r="J681" s="2">
        <v>103.91</v>
      </c>
      <c r="K681" s="2">
        <v>92.09</v>
      </c>
      <c r="L681" t="s">
        <v>17</v>
      </c>
    </row>
    <row r="682" spans="1:12" x14ac:dyDescent="0.35">
      <c r="A682" t="s">
        <v>977</v>
      </c>
      <c r="B682">
        <v>45585</v>
      </c>
      <c r="C682" t="s">
        <v>277</v>
      </c>
      <c r="D682" t="s">
        <v>24</v>
      </c>
      <c r="E682" t="s">
        <v>38</v>
      </c>
      <c r="F682" t="s">
        <v>52</v>
      </c>
      <c r="G682">
        <v>2</v>
      </c>
      <c r="H682" s="2">
        <v>39</v>
      </c>
      <c r="I682" s="2">
        <v>78</v>
      </c>
      <c r="J682" s="2">
        <v>49.51</v>
      </c>
      <c r="K682" s="2">
        <v>28.49</v>
      </c>
      <c r="L682" t="s">
        <v>44</v>
      </c>
    </row>
    <row r="683" spans="1:12" x14ac:dyDescent="0.35">
      <c r="A683" t="s">
        <v>978</v>
      </c>
      <c r="B683">
        <v>45479</v>
      </c>
      <c r="C683" t="s">
        <v>565</v>
      </c>
      <c r="D683" t="s">
        <v>24</v>
      </c>
      <c r="E683" t="s">
        <v>15</v>
      </c>
      <c r="F683" t="s">
        <v>20</v>
      </c>
      <c r="G683">
        <v>1</v>
      </c>
      <c r="H683" s="2">
        <v>68</v>
      </c>
      <c r="I683" s="2">
        <v>68</v>
      </c>
      <c r="J683" s="2">
        <v>45.17</v>
      </c>
      <c r="K683" s="2">
        <v>22.83</v>
      </c>
      <c r="L683" t="s">
        <v>21</v>
      </c>
    </row>
    <row r="684" spans="1:12" x14ac:dyDescent="0.35">
      <c r="A684" t="s">
        <v>979</v>
      </c>
      <c r="B684">
        <v>45583</v>
      </c>
      <c r="C684" t="s">
        <v>338</v>
      </c>
      <c r="D684" t="s">
        <v>28</v>
      </c>
      <c r="E684" t="s">
        <v>15</v>
      </c>
      <c r="F684" t="s">
        <v>25</v>
      </c>
      <c r="G684">
        <v>5</v>
      </c>
      <c r="H684" s="2">
        <v>17</v>
      </c>
      <c r="I684" s="2">
        <v>85</v>
      </c>
      <c r="J684" s="2">
        <v>51.29</v>
      </c>
      <c r="K684" s="2">
        <v>33.71</v>
      </c>
      <c r="L684" t="s">
        <v>35</v>
      </c>
    </row>
    <row r="685" spans="1:12" x14ac:dyDescent="0.35">
      <c r="A685" t="s">
        <v>980</v>
      </c>
      <c r="B685">
        <v>45411</v>
      </c>
      <c r="C685" t="s">
        <v>165</v>
      </c>
      <c r="D685" t="s">
        <v>42</v>
      </c>
      <c r="E685" t="s">
        <v>15</v>
      </c>
      <c r="F685" t="s">
        <v>20</v>
      </c>
      <c r="G685">
        <v>2</v>
      </c>
      <c r="H685" s="2">
        <v>54</v>
      </c>
      <c r="I685" s="2">
        <v>108</v>
      </c>
      <c r="J685" s="2">
        <v>64.34</v>
      </c>
      <c r="K685" s="2">
        <v>43.66</v>
      </c>
      <c r="L685" t="s">
        <v>35</v>
      </c>
    </row>
    <row r="686" spans="1:12" x14ac:dyDescent="0.35">
      <c r="A686" t="s">
        <v>981</v>
      </c>
      <c r="B686">
        <v>45436</v>
      </c>
      <c r="C686" t="s">
        <v>216</v>
      </c>
      <c r="D686" t="s">
        <v>14</v>
      </c>
      <c r="E686" t="s">
        <v>33</v>
      </c>
      <c r="F686" t="s">
        <v>92</v>
      </c>
      <c r="G686">
        <v>3</v>
      </c>
      <c r="H686" s="2">
        <v>60</v>
      </c>
      <c r="I686" s="2">
        <v>180</v>
      </c>
      <c r="J686" s="2">
        <v>123.68</v>
      </c>
      <c r="K686" s="2">
        <v>56.32</v>
      </c>
      <c r="L686" t="s">
        <v>21</v>
      </c>
    </row>
    <row r="687" spans="1:12" x14ac:dyDescent="0.35">
      <c r="A687" t="s">
        <v>982</v>
      </c>
      <c r="B687">
        <v>45396</v>
      </c>
      <c r="C687" t="s">
        <v>167</v>
      </c>
      <c r="D687" t="s">
        <v>28</v>
      </c>
      <c r="E687" t="s">
        <v>15</v>
      </c>
      <c r="F687" t="s">
        <v>16</v>
      </c>
      <c r="G687">
        <v>4</v>
      </c>
      <c r="H687" s="2">
        <v>75</v>
      </c>
      <c r="I687" s="2">
        <v>300</v>
      </c>
      <c r="J687" s="2">
        <v>212.41</v>
      </c>
      <c r="K687" s="2">
        <v>87.59</v>
      </c>
      <c r="L687" t="s">
        <v>21</v>
      </c>
    </row>
    <row r="688" spans="1:12" x14ac:dyDescent="0.35">
      <c r="A688" t="s">
        <v>983</v>
      </c>
      <c r="B688">
        <v>45553</v>
      </c>
      <c r="C688" t="s">
        <v>394</v>
      </c>
      <c r="D688" t="s">
        <v>42</v>
      </c>
      <c r="E688" t="s">
        <v>38</v>
      </c>
      <c r="F688" t="s">
        <v>58</v>
      </c>
      <c r="G688">
        <v>1</v>
      </c>
      <c r="H688" s="2">
        <v>52</v>
      </c>
      <c r="I688" s="2">
        <v>52</v>
      </c>
      <c r="J688" s="2">
        <v>36.51</v>
      </c>
      <c r="K688" s="2">
        <v>15.49</v>
      </c>
      <c r="L688" t="s">
        <v>21</v>
      </c>
    </row>
    <row r="689" spans="1:12" x14ac:dyDescent="0.35">
      <c r="A689" t="s">
        <v>984</v>
      </c>
      <c r="B689">
        <v>45622</v>
      </c>
      <c r="C689" t="s">
        <v>762</v>
      </c>
      <c r="D689" t="s">
        <v>42</v>
      </c>
      <c r="E689" t="s">
        <v>33</v>
      </c>
      <c r="F689" t="s">
        <v>55</v>
      </c>
      <c r="G689">
        <v>2</v>
      </c>
      <c r="H689" s="2">
        <v>62</v>
      </c>
      <c r="I689" s="2">
        <v>124</v>
      </c>
      <c r="J689" s="2">
        <v>74.069999999999993</v>
      </c>
      <c r="K689" s="2">
        <v>49.93</v>
      </c>
      <c r="L689" t="s">
        <v>17</v>
      </c>
    </row>
    <row r="690" spans="1:12" x14ac:dyDescent="0.35">
      <c r="A690" t="s">
        <v>985</v>
      </c>
      <c r="B690">
        <v>45365</v>
      </c>
      <c r="C690" t="s">
        <v>296</v>
      </c>
      <c r="D690" t="s">
        <v>14</v>
      </c>
      <c r="E690" t="s">
        <v>38</v>
      </c>
      <c r="F690" t="s">
        <v>52</v>
      </c>
      <c r="G690">
        <v>4</v>
      </c>
      <c r="H690" s="2">
        <v>87</v>
      </c>
      <c r="I690" s="2">
        <v>348</v>
      </c>
      <c r="J690" s="2">
        <v>268.5</v>
      </c>
      <c r="K690" s="2">
        <v>79.5</v>
      </c>
      <c r="L690" t="s">
        <v>35</v>
      </c>
    </row>
    <row r="691" spans="1:12" x14ac:dyDescent="0.35">
      <c r="A691" t="s">
        <v>986</v>
      </c>
      <c r="B691">
        <v>45602</v>
      </c>
      <c r="C691" t="s">
        <v>854</v>
      </c>
      <c r="D691" t="s">
        <v>14</v>
      </c>
      <c r="E691" t="s">
        <v>15</v>
      </c>
      <c r="F691" t="s">
        <v>16</v>
      </c>
      <c r="G691">
        <v>2</v>
      </c>
      <c r="H691" s="2">
        <v>56</v>
      </c>
      <c r="I691" s="2">
        <v>112</v>
      </c>
      <c r="J691" s="2">
        <v>83.54</v>
      </c>
      <c r="K691" s="2">
        <v>28.46</v>
      </c>
      <c r="L691" t="s">
        <v>35</v>
      </c>
    </row>
    <row r="692" spans="1:12" x14ac:dyDescent="0.35">
      <c r="A692" t="s">
        <v>987</v>
      </c>
      <c r="B692">
        <v>45335</v>
      </c>
      <c r="C692" t="s">
        <v>27</v>
      </c>
      <c r="D692" t="s">
        <v>14</v>
      </c>
      <c r="E692" t="s">
        <v>38</v>
      </c>
      <c r="F692" t="s">
        <v>58</v>
      </c>
      <c r="G692">
        <v>5</v>
      </c>
      <c r="H692" s="2">
        <v>74</v>
      </c>
      <c r="I692" s="2">
        <v>370</v>
      </c>
      <c r="J692" s="2">
        <v>227.5</v>
      </c>
      <c r="K692" s="2">
        <v>142.5</v>
      </c>
      <c r="L692" t="s">
        <v>17</v>
      </c>
    </row>
    <row r="693" spans="1:12" x14ac:dyDescent="0.35">
      <c r="A693" t="s">
        <v>988</v>
      </c>
      <c r="B693">
        <v>45439</v>
      </c>
      <c r="C693" t="s">
        <v>394</v>
      </c>
      <c r="D693" t="s">
        <v>42</v>
      </c>
      <c r="E693" t="s">
        <v>33</v>
      </c>
      <c r="F693" t="s">
        <v>34</v>
      </c>
      <c r="G693">
        <v>3</v>
      </c>
      <c r="H693" s="2">
        <v>67</v>
      </c>
      <c r="I693" s="2">
        <v>201</v>
      </c>
      <c r="J693" s="2">
        <v>150.84</v>
      </c>
      <c r="K693" s="2">
        <v>50.16</v>
      </c>
      <c r="L693" t="s">
        <v>17</v>
      </c>
    </row>
    <row r="694" spans="1:12" x14ac:dyDescent="0.35">
      <c r="A694" t="s">
        <v>989</v>
      </c>
      <c r="B694">
        <v>45540</v>
      </c>
      <c r="C694" t="s">
        <v>559</v>
      </c>
      <c r="D694" t="s">
        <v>24</v>
      </c>
      <c r="E694" t="s">
        <v>29</v>
      </c>
      <c r="F694" t="s">
        <v>30</v>
      </c>
      <c r="G694">
        <v>4</v>
      </c>
      <c r="H694" s="2">
        <v>30</v>
      </c>
      <c r="I694" s="2">
        <v>120</v>
      </c>
      <c r="J694" s="2">
        <v>80.95</v>
      </c>
      <c r="K694" s="2">
        <v>39.049999999999997</v>
      </c>
      <c r="L694" t="s">
        <v>17</v>
      </c>
    </row>
    <row r="695" spans="1:12" x14ac:dyDescent="0.35">
      <c r="A695" t="s">
        <v>990</v>
      </c>
      <c r="B695">
        <v>45441</v>
      </c>
      <c r="C695" t="s">
        <v>251</v>
      </c>
      <c r="D695" t="s">
        <v>28</v>
      </c>
      <c r="E695" t="s">
        <v>38</v>
      </c>
      <c r="F695" t="s">
        <v>52</v>
      </c>
      <c r="G695">
        <v>5</v>
      </c>
      <c r="H695" s="2">
        <v>100</v>
      </c>
      <c r="I695" s="2">
        <v>500</v>
      </c>
      <c r="J695" s="2">
        <v>293.23</v>
      </c>
      <c r="K695" s="2">
        <v>206.77</v>
      </c>
      <c r="L695" t="s">
        <v>21</v>
      </c>
    </row>
    <row r="696" spans="1:12" x14ac:dyDescent="0.35">
      <c r="A696" t="s">
        <v>991</v>
      </c>
      <c r="B696">
        <v>45360</v>
      </c>
      <c r="C696" t="s">
        <v>153</v>
      </c>
      <c r="D696" t="s">
        <v>28</v>
      </c>
      <c r="E696" t="s">
        <v>15</v>
      </c>
      <c r="F696" t="s">
        <v>16</v>
      </c>
      <c r="G696">
        <v>1</v>
      </c>
      <c r="H696" s="2">
        <v>65</v>
      </c>
      <c r="I696" s="2">
        <v>65</v>
      </c>
      <c r="J696" s="2">
        <v>43.46</v>
      </c>
      <c r="K696" s="2">
        <v>21.54</v>
      </c>
      <c r="L696" t="s">
        <v>35</v>
      </c>
    </row>
    <row r="697" spans="1:12" x14ac:dyDescent="0.35">
      <c r="A697" t="s">
        <v>992</v>
      </c>
      <c r="B697">
        <v>45590</v>
      </c>
      <c r="C697" t="s">
        <v>500</v>
      </c>
      <c r="D697" t="s">
        <v>28</v>
      </c>
      <c r="E697" t="s">
        <v>38</v>
      </c>
      <c r="F697" t="s">
        <v>39</v>
      </c>
      <c r="G697">
        <v>5</v>
      </c>
      <c r="H697" s="2">
        <v>66</v>
      </c>
      <c r="I697" s="2">
        <v>330</v>
      </c>
      <c r="J697" s="2">
        <v>221.55</v>
      </c>
      <c r="K697" s="2">
        <v>108.45</v>
      </c>
      <c r="L697" t="s">
        <v>44</v>
      </c>
    </row>
    <row r="698" spans="1:12" x14ac:dyDescent="0.35">
      <c r="A698" t="s">
        <v>993</v>
      </c>
      <c r="B698">
        <v>45573</v>
      </c>
      <c r="C698" t="s">
        <v>749</v>
      </c>
      <c r="D698" t="s">
        <v>24</v>
      </c>
      <c r="E698" t="s">
        <v>33</v>
      </c>
      <c r="F698" t="s">
        <v>34</v>
      </c>
      <c r="G698">
        <v>1</v>
      </c>
      <c r="H698" s="2">
        <v>10</v>
      </c>
      <c r="I698" s="2">
        <v>10</v>
      </c>
      <c r="J698" s="2">
        <v>6.91</v>
      </c>
      <c r="K698" s="2">
        <v>3.09</v>
      </c>
      <c r="L698" t="s">
        <v>21</v>
      </c>
    </row>
    <row r="699" spans="1:12" x14ac:dyDescent="0.35">
      <c r="A699" t="s">
        <v>994</v>
      </c>
      <c r="B699">
        <v>45640</v>
      </c>
      <c r="C699" t="s">
        <v>586</v>
      </c>
      <c r="D699" t="s">
        <v>42</v>
      </c>
      <c r="E699" t="s">
        <v>38</v>
      </c>
      <c r="F699" t="s">
        <v>39</v>
      </c>
      <c r="G699">
        <v>3</v>
      </c>
      <c r="H699" s="2">
        <v>45</v>
      </c>
      <c r="I699" s="2">
        <v>135</v>
      </c>
      <c r="J699" s="2">
        <v>87.41</v>
      </c>
      <c r="K699" s="2">
        <v>47.59</v>
      </c>
      <c r="L699" t="s">
        <v>17</v>
      </c>
    </row>
    <row r="700" spans="1:12" x14ac:dyDescent="0.35">
      <c r="A700" t="s">
        <v>995</v>
      </c>
      <c r="B700">
        <v>45352</v>
      </c>
      <c r="C700" t="s">
        <v>416</v>
      </c>
      <c r="D700" t="s">
        <v>24</v>
      </c>
      <c r="E700" t="s">
        <v>38</v>
      </c>
      <c r="F700" t="s">
        <v>52</v>
      </c>
      <c r="G700">
        <v>2</v>
      </c>
      <c r="H700" s="2">
        <v>61</v>
      </c>
      <c r="I700" s="2">
        <v>122</v>
      </c>
      <c r="J700" s="2">
        <v>81.33</v>
      </c>
      <c r="K700" s="2">
        <v>40.67</v>
      </c>
      <c r="L700" t="s">
        <v>21</v>
      </c>
    </row>
    <row r="701" spans="1:12" x14ac:dyDescent="0.35">
      <c r="A701" t="s">
        <v>996</v>
      </c>
      <c r="B701">
        <v>45483</v>
      </c>
      <c r="C701" t="s">
        <v>332</v>
      </c>
      <c r="D701" t="s">
        <v>24</v>
      </c>
      <c r="E701" t="s">
        <v>38</v>
      </c>
      <c r="F701" t="s">
        <v>52</v>
      </c>
      <c r="G701">
        <v>5</v>
      </c>
      <c r="H701" s="2">
        <v>57</v>
      </c>
      <c r="I701" s="2">
        <v>285</v>
      </c>
      <c r="J701" s="2">
        <v>175.48</v>
      </c>
      <c r="K701" s="2">
        <v>109.52</v>
      </c>
      <c r="L701" t="s">
        <v>17</v>
      </c>
    </row>
    <row r="702" spans="1:12" x14ac:dyDescent="0.35">
      <c r="A702" t="s">
        <v>997</v>
      </c>
      <c r="B702">
        <v>45650</v>
      </c>
      <c r="C702" t="s">
        <v>998</v>
      </c>
      <c r="D702" t="s">
        <v>28</v>
      </c>
      <c r="E702" t="s">
        <v>33</v>
      </c>
      <c r="F702" t="s">
        <v>55</v>
      </c>
      <c r="G702">
        <v>3</v>
      </c>
      <c r="H702" s="2">
        <v>79</v>
      </c>
      <c r="I702" s="2">
        <v>237</v>
      </c>
      <c r="J702" s="2">
        <v>149.09</v>
      </c>
      <c r="K702" s="2">
        <v>87.91</v>
      </c>
      <c r="L702" t="s">
        <v>44</v>
      </c>
    </row>
    <row r="703" spans="1:12" x14ac:dyDescent="0.35">
      <c r="A703" t="s">
        <v>999</v>
      </c>
      <c r="B703">
        <v>45545</v>
      </c>
      <c r="C703" t="s">
        <v>1000</v>
      </c>
      <c r="D703" t="s">
        <v>42</v>
      </c>
      <c r="E703" t="s">
        <v>29</v>
      </c>
      <c r="F703" t="s">
        <v>43</v>
      </c>
      <c r="G703">
        <v>3</v>
      </c>
      <c r="H703" s="2">
        <v>86</v>
      </c>
      <c r="I703" s="2">
        <v>258</v>
      </c>
      <c r="J703" s="2">
        <v>176.94</v>
      </c>
      <c r="K703" s="2">
        <v>81.06</v>
      </c>
      <c r="L703" t="s">
        <v>17</v>
      </c>
    </row>
    <row r="704" spans="1:12" x14ac:dyDescent="0.35">
      <c r="A704" t="s">
        <v>1001</v>
      </c>
      <c r="B704">
        <v>45363</v>
      </c>
      <c r="C704" t="s">
        <v>155</v>
      </c>
      <c r="D704" t="s">
        <v>24</v>
      </c>
      <c r="E704" t="s">
        <v>33</v>
      </c>
      <c r="F704" t="s">
        <v>55</v>
      </c>
      <c r="G704">
        <v>1</v>
      </c>
      <c r="H704" s="2">
        <v>14</v>
      </c>
      <c r="I704" s="2">
        <v>14</v>
      </c>
      <c r="J704" s="2">
        <v>9.89</v>
      </c>
      <c r="K704" s="2">
        <v>4.1100000000000003</v>
      </c>
      <c r="L704" t="s">
        <v>21</v>
      </c>
    </row>
    <row r="705" spans="1:12" x14ac:dyDescent="0.35">
      <c r="A705" t="s">
        <v>1002</v>
      </c>
      <c r="B705">
        <v>45420</v>
      </c>
      <c r="C705" t="s">
        <v>410</v>
      </c>
      <c r="D705" t="s">
        <v>24</v>
      </c>
      <c r="E705" t="s">
        <v>33</v>
      </c>
      <c r="F705" t="s">
        <v>92</v>
      </c>
      <c r="G705">
        <v>2</v>
      </c>
      <c r="H705" s="2">
        <v>10</v>
      </c>
      <c r="I705" s="2">
        <v>20</v>
      </c>
      <c r="J705" s="2">
        <v>14.22</v>
      </c>
      <c r="K705" s="2">
        <v>5.78</v>
      </c>
      <c r="L705" t="s">
        <v>44</v>
      </c>
    </row>
    <row r="706" spans="1:12" x14ac:dyDescent="0.35">
      <c r="A706" t="s">
        <v>1003</v>
      </c>
      <c r="B706">
        <v>45537</v>
      </c>
      <c r="C706" t="s">
        <v>284</v>
      </c>
      <c r="D706" t="s">
        <v>24</v>
      </c>
      <c r="E706" t="s">
        <v>29</v>
      </c>
      <c r="F706" t="s">
        <v>75</v>
      </c>
      <c r="G706">
        <v>5</v>
      </c>
      <c r="H706" s="2">
        <v>100</v>
      </c>
      <c r="I706" s="2">
        <v>500</v>
      </c>
      <c r="J706" s="2">
        <v>333.35</v>
      </c>
      <c r="K706" s="2">
        <v>166.65</v>
      </c>
      <c r="L706" t="s">
        <v>35</v>
      </c>
    </row>
    <row r="707" spans="1:12" x14ac:dyDescent="0.35">
      <c r="A707" t="s">
        <v>1004</v>
      </c>
      <c r="B707">
        <v>45404</v>
      </c>
      <c r="C707" t="s">
        <v>751</v>
      </c>
      <c r="D707" t="s">
        <v>14</v>
      </c>
      <c r="E707" t="s">
        <v>33</v>
      </c>
      <c r="F707" t="s">
        <v>34</v>
      </c>
      <c r="G707">
        <v>5</v>
      </c>
      <c r="H707" s="2">
        <v>51</v>
      </c>
      <c r="I707" s="2">
        <v>255</v>
      </c>
      <c r="J707" s="2">
        <v>170.72</v>
      </c>
      <c r="K707" s="2">
        <v>84.28</v>
      </c>
      <c r="L707" t="s">
        <v>44</v>
      </c>
    </row>
    <row r="708" spans="1:12" x14ac:dyDescent="0.35">
      <c r="A708" t="s">
        <v>1005</v>
      </c>
      <c r="B708">
        <v>45417</v>
      </c>
      <c r="C708" t="s">
        <v>342</v>
      </c>
      <c r="D708" t="s">
        <v>14</v>
      </c>
      <c r="E708" t="s">
        <v>33</v>
      </c>
      <c r="F708" t="s">
        <v>55</v>
      </c>
      <c r="G708">
        <v>1</v>
      </c>
      <c r="H708" s="2">
        <v>57</v>
      </c>
      <c r="I708" s="2">
        <v>57</v>
      </c>
      <c r="J708" s="2">
        <v>35.590000000000003</v>
      </c>
      <c r="K708" s="2">
        <v>21.41</v>
      </c>
      <c r="L708" t="s">
        <v>17</v>
      </c>
    </row>
    <row r="709" spans="1:12" x14ac:dyDescent="0.35">
      <c r="A709" t="s">
        <v>1006</v>
      </c>
      <c r="B709">
        <v>45557</v>
      </c>
      <c r="C709" t="s">
        <v>1007</v>
      </c>
      <c r="D709" t="s">
        <v>14</v>
      </c>
      <c r="E709" t="s">
        <v>29</v>
      </c>
      <c r="F709" t="s">
        <v>47</v>
      </c>
      <c r="G709">
        <v>3</v>
      </c>
      <c r="H709" s="2">
        <v>34</v>
      </c>
      <c r="I709" s="2">
        <v>102</v>
      </c>
      <c r="J709" s="2">
        <v>79.319999999999993</v>
      </c>
      <c r="K709" s="2">
        <v>22.68</v>
      </c>
      <c r="L709" t="s">
        <v>35</v>
      </c>
    </row>
    <row r="710" spans="1:12" x14ac:dyDescent="0.35">
      <c r="A710" t="s">
        <v>1008</v>
      </c>
      <c r="B710">
        <v>45581</v>
      </c>
      <c r="C710" t="s">
        <v>885</v>
      </c>
      <c r="D710" t="s">
        <v>24</v>
      </c>
      <c r="E710" t="s">
        <v>33</v>
      </c>
      <c r="F710" t="s">
        <v>92</v>
      </c>
      <c r="G710">
        <v>3</v>
      </c>
      <c r="H710" s="2">
        <v>84</v>
      </c>
      <c r="I710" s="2">
        <v>252</v>
      </c>
      <c r="J710" s="2">
        <v>198.46</v>
      </c>
      <c r="K710" s="2">
        <v>53.54</v>
      </c>
      <c r="L710" t="s">
        <v>44</v>
      </c>
    </row>
    <row r="711" spans="1:12" x14ac:dyDescent="0.35">
      <c r="A711" t="s">
        <v>1009</v>
      </c>
      <c r="B711">
        <v>45608</v>
      </c>
      <c r="C711" t="s">
        <v>103</v>
      </c>
      <c r="D711" t="s">
        <v>42</v>
      </c>
      <c r="E711" t="s">
        <v>15</v>
      </c>
      <c r="F711" t="s">
        <v>25</v>
      </c>
      <c r="G711">
        <v>3</v>
      </c>
      <c r="H711" s="2">
        <v>37</v>
      </c>
      <c r="I711" s="2">
        <v>111</v>
      </c>
      <c r="J711" s="2">
        <v>78.510000000000005</v>
      </c>
      <c r="K711" s="2">
        <v>32.49</v>
      </c>
      <c r="L711" t="s">
        <v>21</v>
      </c>
    </row>
    <row r="712" spans="1:12" x14ac:dyDescent="0.35">
      <c r="A712" t="s">
        <v>1010</v>
      </c>
      <c r="B712">
        <v>45602</v>
      </c>
      <c r="C712" t="s">
        <v>218</v>
      </c>
      <c r="D712" t="s">
        <v>24</v>
      </c>
      <c r="E712" t="s">
        <v>29</v>
      </c>
      <c r="F712" t="s">
        <v>47</v>
      </c>
      <c r="G712">
        <v>4</v>
      </c>
      <c r="H712" s="2">
        <v>58</v>
      </c>
      <c r="I712" s="2">
        <v>232</v>
      </c>
      <c r="J712" s="2">
        <v>127.36</v>
      </c>
      <c r="K712" s="2">
        <v>104.64</v>
      </c>
      <c r="L712" t="s">
        <v>44</v>
      </c>
    </row>
    <row r="713" spans="1:12" x14ac:dyDescent="0.35">
      <c r="A713" t="s">
        <v>1011</v>
      </c>
      <c r="B713">
        <v>45538</v>
      </c>
      <c r="C713" t="s">
        <v>239</v>
      </c>
      <c r="D713" t="s">
        <v>24</v>
      </c>
      <c r="E713" t="s">
        <v>15</v>
      </c>
      <c r="F713" t="s">
        <v>20</v>
      </c>
      <c r="G713">
        <v>2</v>
      </c>
      <c r="H713" s="2">
        <v>99</v>
      </c>
      <c r="I713" s="2">
        <v>198</v>
      </c>
      <c r="J713" s="2">
        <v>102.07</v>
      </c>
      <c r="K713" s="2">
        <v>95.93</v>
      </c>
      <c r="L713" t="s">
        <v>21</v>
      </c>
    </row>
    <row r="714" spans="1:12" x14ac:dyDescent="0.35">
      <c r="A714" t="s">
        <v>1012</v>
      </c>
      <c r="B714">
        <v>45636</v>
      </c>
      <c r="C714" t="s">
        <v>114</v>
      </c>
      <c r="D714" t="s">
        <v>28</v>
      </c>
      <c r="E714" t="s">
        <v>29</v>
      </c>
      <c r="F714" t="s">
        <v>47</v>
      </c>
      <c r="G714">
        <v>2</v>
      </c>
      <c r="H714" s="2">
        <v>27</v>
      </c>
      <c r="I714" s="2">
        <v>54</v>
      </c>
      <c r="J714" s="2">
        <v>38.18</v>
      </c>
      <c r="K714" s="2">
        <v>15.82</v>
      </c>
      <c r="L714" t="s">
        <v>35</v>
      </c>
    </row>
    <row r="715" spans="1:12" x14ac:dyDescent="0.35">
      <c r="A715" t="s">
        <v>1013</v>
      </c>
      <c r="B715">
        <v>45307</v>
      </c>
      <c r="C715" t="s">
        <v>498</v>
      </c>
      <c r="D715" t="s">
        <v>24</v>
      </c>
      <c r="E715" t="s">
        <v>15</v>
      </c>
      <c r="F715" t="s">
        <v>25</v>
      </c>
      <c r="G715">
        <v>1</v>
      </c>
      <c r="H715" s="2">
        <v>54</v>
      </c>
      <c r="I715" s="2">
        <v>54</v>
      </c>
      <c r="J715" s="2">
        <v>38.46</v>
      </c>
      <c r="K715" s="2">
        <v>15.54</v>
      </c>
      <c r="L715" t="s">
        <v>17</v>
      </c>
    </row>
    <row r="716" spans="1:12" x14ac:dyDescent="0.35">
      <c r="A716" t="s">
        <v>1014</v>
      </c>
      <c r="B716">
        <v>45346</v>
      </c>
      <c r="C716" t="s">
        <v>565</v>
      </c>
      <c r="D716" t="s">
        <v>14</v>
      </c>
      <c r="E716" t="s">
        <v>29</v>
      </c>
      <c r="F716" t="s">
        <v>47</v>
      </c>
      <c r="G716">
        <v>1</v>
      </c>
      <c r="H716" s="2">
        <v>46</v>
      </c>
      <c r="I716" s="2">
        <v>46</v>
      </c>
      <c r="J716" s="2">
        <v>26.23</v>
      </c>
      <c r="K716" s="2">
        <v>19.77</v>
      </c>
      <c r="L716" t="s">
        <v>44</v>
      </c>
    </row>
    <row r="717" spans="1:12" x14ac:dyDescent="0.35">
      <c r="A717" t="s">
        <v>1015</v>
      </c>
      <c r="B717">
        <v>45451</v>
      </c>
      <c r="C717" t="s">
        <v>1007</v>
      </c>
      <c r="D717" t="s">
        <v>24</v>
      </c>
      <c r="E717" t="s">
        <v>33</v>
      </c>
      <c r="F717" t="s">
        <v>92</v>
      </c>
      <c r="G717">
        <v>5</v>
      </c>
      <c r="H717" s="2">
        <v>18</v>
      </c>
      <c r="I717" s="2">
        <v>90</v>
      </c>
      <c r="J717" s="2">
        <v>45.41</v>
      </c>
      <c r="K717" s="2">
        <v>44.59</v>
      </c>
      <c r="L717" t="s">
        <v>21</v>
      </c>
    </row>
    <row r="718" spans="1:12" x14ac:dyDescent="0.35">
      <c r="A718" t="s">
        <v>1016</v>
      </c>
      <c r="B718">
        <v>45395</v>
      </c>
      <c r="C718" t="s">
        <v>461</v>
      </c>
      <c r="D718" t="s">
        <v>42</v>
      </c>
      <c r="E718" t="s">
        <v>15</v>
      </c>
      <c r="F718" t="s">
        <v>25</v>
      </c>
      <c r="G718">
        <v>4</v>
      </c>
      <c r="H718" s="2">
        <v>11</v>
      </c>
      <c r="I718" s="2">
        <v>44</v>
      </c>
      <c r="J718" s="2">
        <v>22.07</v>
      </c>
      <c r="K718" s="2">
        <v>21.93</v>
      </c>
      <c r="L718" t="s">
        <v>35</v>
      </c>
    </row>
    <row r="719" spans="1:12" x14ac:dyDescent="0.35">
      <c r="A719" t="s">
        <v>1017</v>
      </c>
      <c r="B719">
        <v>45477</v>
      </c>
      <c r="C719" t="s">
        <v>844</v>
      </c>
      <c r="D719" t="s">
        <v>42</v>
      </c>
      <c r="E719" t="s">
        <v>33</v>
      </c>
      <c r="F719" t="s">
        <v>92</v>
      </c>
      <c r="G719">
        <v>3</v>
      </c>
      <c r="H719" s="2">
        <v>88</v>
      </c>
      <c r="I719" s="2">
        <v>264</v>
      </c>
      <c r="J719" s="2">
        <v>203.17</v>
      </c>
      <c r="K719" s="2">
        <v>60.83</v>
      </c>
      <c r="L719" t="s">
        <v>35</v>
      </c>
    </row>
    <row r="720" spans="1:12" x14ac:dyDescent="0.35">
      <c r="A720" t="s">
        <v>1018</v>
      </c>
      <c r="B720">
        <v>45493</v>
      </c>
      <c r="C720" t="s">
        <v>668</v>
      </c>
      <c r="D720" t="s">
        <v>42</v>
      </c>
      <c r="E720" t="s">
        <v>29</v>
      </c>
      <c r="F720" t="s">
        <v>47</v>
      </c>
      <c r="G720">
        <v>3</v>
      </c>
      <c r="H720" s="2">
        <v>44</v>
      </c>
      <c r="I720" s="2">
        <v>132</v>
      </c>
      <c r="J720" s="2">
        <v>85.14</v>
      </c>
      <c r="K720" s="2">
        <v>46.86</v>
      </c>
      <c r="L720" t="s">
        <v>35</v>
      </c>
    </row>
    <row r="721" spans="1:12" x14ac:dyDescent="0.35">
      <c r="A721" t="s">
        <v>1019</v>
      </c>
      <c r="B721">
        <v>45400</v>
      </c>
      <c r="C721" t="s">
        <v>171</v>
      </c>
      <c r="D721" t="s">
        <v>24</v>
      </c>
      <c r="E721" t="s">
        <v>38</v>
      </c>
      <c r="F721" t="s">
        <v>58</v>
      </c>
      <c r="G721">
        <v>4</v>
      </c>
      <c r="H721" s="2">
        <v>75</v>
      </c>
      <c r="I721" s="2">
        <v>300</v>
      </c>
      <c r="J721" s="2">
        <v>189.42</v>
      </c>
      <c r="K721" s="2">
        <v>110.58</v>
      </c>
      <c r="L721" t="s">
        <v>35</v>
      </c>
    </row>
    <row r="722" spans="1:12" x14ac:dyDescent="0.35">
      <c r="A722" t="s">
        <v>1020</v>
      </c>
      <c r="B722">
        <v>45484</v>
      </c>
      <c r="C722" t="s">
        <v>1021</v>
      </c>
      <c r="D722" t="s">
        <v>24</v>
      </c>
      <c r="E722" t="s">
        <v>38</v>
      </c>
      <c r="F722" t="s">
        <v>39</v>
      </c>
      <c r="G722">
        <v>3</v>
      </c>
      <c r="H722" s="2">
        <v>26</v>
      </c>
      <c r="I722" s="2">
        <v>78</v>
      </c>
      <c r="J722" s="2">
        <v>57.52</v>
      </c>
      <c r="K722" s="2">
        <v>20.48</v>
      </c>
      <c r="L722" t="s">
        <v>17</v>
      </c>
    </row>
    <row r="723" spans="1:12" x14ac:dyDescent="0.35">
      <c r="A723" t="s">
        <v>1022</v>
      </c>
      <c r="B723">
        <v>45621</v>
      </c>
      <c r="C723" t="s">
        <v>68</v>
      </c>
      <c r="D723" t="s">
        <v>28</v>
      </c>
      <c r="E723" t="s">
        <v>33</v>
      </c>
      <c r="F723" t="s">
        <v>34</v>
      </c>
      <c r="G723">
        <v>4</v>
      </c>
      <c r="H723" s="2">
        <v>58</v>
      </c>
      <c r="I723" s="2">
        <v>232</v>
      </c>
      <c r="J723" s="2">
        <v>116.21</v>
      </c>
      <c r="K723" s="2">
        <v>115.79</v>
      </c>
      <c r="L723" t="s">
        <v>21</v>
      </c>
    </row>
    <row r="724" spans="1:12" x14ac:dyDescent="0.35">
      <c r="A724" t="s">
        <v>1023</v>
      </c>
      <c r="B724">
        <v>45341</v>
      </c>
      <c r="C724" t="s">
        <v>704</v>
      </c>
      <c r="D724" t="s">
        <v>14</v>
      </c>
      <c r="E724" t="s">
        <v>33</v>
      </c>
      <c r="F724" t="s">
        <v>55</v>
      </c>
      <c r="G724">
        <v>3</v>
      </c>
      <c r="H724" s="2">
        <v>94</v>
      </c>
      <c r="I724" s="2">
        <v>282</v>
      </c>
      <c r="J724" s="2">
        <v>213.89</v>
      </c>
      <c r="K724" s="2">
        <v>68.11</v>
      </c>
      <c r="L724" t="s">
        <v>44</v>
      </c>
    </row>
    <row r="725" spans="1:12" x14ac:dyDescent="0.35">
      <c r="A725" t="s">
        <v>1024</v>
      </c>
      <c r="B725">
        <v>45580</v>
      </c>
      <c r="C725" t="s">
        <v>625</v>
      </c>
      <c r="D725" t="s">
        <v>14</v>
      </c>
      <c r="E725" t="s">
        <v>29</v>
      </c>
      <c r="F725" t="s">
        <v>43</v>
      </c>
      <c r="G725">
        <v>4</v>
      </c>
      <c r="H725" s="2">
        <v>28</v>
      </c>
      <c r="I725" s="2">
        <v>112</v>
      </c>
      <c r="J725" s="2">
        <v>84.8</v>
      </c>
      <c r="K725" s="2">
        <v>27.2</v>
      </c>
      <c r="L725" t="s">
        <v>35</v>
      </c>
    </row>
    <row r="726" spans="1:12" x14ac:dyDescent="0.35">
      <c r="A726" t="s">
        <v>1025</v>
      </c>
      <c r="B726">
        <v>45414</v>
      </c>
      <c r="C726" t="s">
        <v>340</v>
      </c>
      <c r="D726" t="s">
        <v>24</v>
      </c>
      <c r="E726" t="s">
        <v>29</v>
      </c>
      <c r="F726" t="s">
        <v>43</v>
      </c>
      <c r="G726">
        <v>1</v>
      </c>
      <c r="H726" s="2">
        <v>29</v>
      </c>
      <c r="I726" s="2">
        <v>29</v>
      </c>
      <c r="J726" s="2">
        <v>22.73</v>
      </c>
      <c r="K726" s="2">
        <v>6.27</v>
      </c>
      <c r="L726" t="s">
        <v>21</v>
      </c>
    </row>
    <row r="727" spans="1:12" x14ac:dyDescent="0.35">
      <c r="A727" t="s">
        <v>1026</v>
      </c>
      <c r="B727">
        <v>45524</v>
      </c>
      <c r="C727" t="s">
        <v>97</v>
      </c>
      <c r="D727" t="s">
        <v>14</v>
      </c>
      <c r="E727" t="s">
        <v>38</v>
      </c>
      <c r="F727" t="s">
        <v>58</v>
      </c>
      <c r="G727">
        <v>5</v>
      </c>
      <c r="H727" s="2">
        <v>63</v>
      </c>
      <c r="I727" s="2">
        <v>315</v>
      </c>
      <c r="J727" s="2">
        <v>174.33</v>
      </c>
      <c r="K727" s="2">
        <v>140.66999999999999</v>
      </c>
      <c r="L727" t="s">
        <v>17</v>
      </c>
    </row>
    <row r="728" spans="1:12" x14ac:dyDescent="0.35">
      <c r="A728" t="s">
        <v>1027</v>
      </c>
      <c r="B728">
        <v>45652</v>
      </c>
      <c r="C728" t="s">
        <v>251</v>
      </c>
      <c r="D728" t="s">
        <v>24</v>
      </c>
      <c r="E728" t="s">
        <v>38</v>
      </c>
      <c r="F728" t="s">
        <v>52</v>
      </c>
      <c r="G728">
        <v>2</v>
      </c>
      <c r="H728" s="2">
        <v>38</v>
      </c>
      <c r="I728" s="2">
        <v>76</v>
      </c>
      <c r="J728" s="2">
        <v>59.73</v>
      </c>
      <c r="K728" s="2">
        <v>16.27</v>
      </c>
      <c r="L728" t="s">
        <v>35</v>
      </c>
    </row>
    <row r="729" spans="1:12" x14ac:dyDescent="0.35">
      <c r="A729" t="s">
        <v>1028</v>
      </c>
      <c r="B729">
        <v>45334</v>
      </c>
      <c r="C729" t="s">
        <v>293</v>
      </c>
      <c r="D729" t="s">
        <v>24</v>
      </c>
      <c r="E729" t="s">
        <v>38</v>
      </c>
      <c r="F729" t="s">
        <v>39</v>
      </c>
      <c r="G729">
        <v>1</v>
      </c>
      <c r="H729" s="2">
        <v>14</v>
      </c>
      <c r="I729" s="2">
        <v>14</v>
      </c>
      <c r="J729" s="2">
        <v>8.9</v>
      </c>
      <c r="K729" s="2">
        <v>5.0999999999999996</v>
      </c>
      <c r="L729" t="s">
        <v>17</v>
      </c>
    </row>
    <row r="730" spans="1:12" x14ac:dyDescent="0.35">
      <c r="A730" t="s">
        <v>1029</v>
      </c>
      <c r="B730">
        <v>45478</v>
      </c>
      <c r="C730" t="s">
        <v>153</v>
      </c>
      <c r="D730" t="s">
        <v>14</v>
      </c>
      <c r="E730" t="s">
        <v>38</v>
      </c>
      <c r="F730" t="s">
        <v>52</v>
      </c>
      <c r="G730">
        <v>4</v>
      </c>
      <c r="H730" s="2">
        <v>44</v>
      </c>
      <c r="I730" s="2">
        <v>176</v>
      </c>
      <c r="J730" s="2">
        <v>96.7</v>
      </c>
      <c r="K730" s="2">
        <v>79.3</v>
      </c>
      <c r="L730" t="s">
        <v>44</v>
      </c>
    </row>
    <row r="731" spans="1:12" x14ac:dyDescent="0.35">
      <c r="A731" t="s">
        <v>1030</v>
      </c>
      <c r="B731">
        <v>45616</v>
      </c>
      <c r="C731" t="s">
        <v>95</v>
      </c>
      <c r="D731" t="s">
        <v>42</v>
      </c>
      <c r="E731" t="s">
        <v>29</v>
      </c>
      <c r="F731" t="s">
        <v>75</v>
      </c>
      <c r="G731">
        <v>2</v>
      </c>
      <c r="H731" s="2">
        <v>45</v>
      </c>
      <c r="I731" s="2">
        <v>90</v>
      </c>
      <c r="J731" s="2">
        <v>49.52</v>
      </c>
      <c r="K731" s="2">
        <v>40.479999999999997</v>
      </c>
      <c r="L731" t="s">
        <v>17</v>
      </c>
    </row>
    <row r="732" spans="1:12" x14ac:dyDescent="0.35">
      <c r="A732" t="s">
        <v>1031</v>
      </c>
      <c r="B732">
        <v>45518</v>
      </c>
      <c r="C732" t="s">
        <v>568</v>
      </c>
      <c r="D732" t="s">
        <v>24</v>
      </c>
      <c r="E732" t="s">
        <v>38</v>
      </c>
      <c r="F732" t="s">
        <v>39</v>
      </c>
      <c r="G732">
        <v>3</v>
      </c>
      <c r="H732" s="2">
        <v>73</v>
      </c>
      <c r="I732" s="2">
        <v>219</v>
      </c>
      <c r="J732" s="2">
        <v>124.96</v>
      </c>
      <c r="K732" s="2">
        <v>94.04</v>
      </c>
      <c r="L732" t="s">
        <v>21</v>
      </c>
    </row>
    <row r="733" spans="1:12" x14ac:dyDescent="0.35">
      <c r="A733" t="s">
        <v>1032</v>
      </c>
      <c r="B733">
        <v>45303</v>
      </c>
      <c r="C733" t="s">
        <v>562</v>
      </c>
      <c r="D733" t="s">
        <v>28</v>
      </c>
      <c r="E733" t="s">
        <v>29</v>
      </c>
      <c r="F733" t="s">
        <v>75</v>
      </c>
      <c r="G733">
        <v>5</v>
      </c>
      <c r="H733" s="2">
        <v>84</v>
      </c>
      <c r="I733" s="2">
        <v>420</v>
      </c>
      <c r="J733" s="2">
        <v>282.49</v>
      </c>
      <c r="K733" s="2">
        <v>137.51</v>
      </c>
      <c r="L733" t="s">
        <v>44</v>
      </c>
    </row>
    <row r="734" spans="1:12" x14ac:dyDescent="0.35">
      <c r="A734" t="s">
        <v>1033</v>
      </c>
      <c r="B734">
        <v>45369</v>
      </c>
      <c r="C734" t="s">
        <v>201</v>
      </c>
      <c r="D734" t="s">
        <v>28</v>
      </c>
      <c r="E734" t="s">
        <v>33</v>
      </c>
      <c r="F734" t="s">
        <v>92</v>
      </c>
      <c r="G734">
        <v>2</v>
      </c>
      <c r="H734" s="2">
        <v>55</v>
      </c>
      <c r="I734" s="2">
        <v>110</v>
      </c>
      <c r="J734" s="2">
        <v>68.010000000000005</v>
      </c>
      <c r="K734" s="2">
        <v>41.99</v>
      </c>
      <c r="L734" t="s">
        <v>21</v>
      </c>
    </row>
    <row r="735" spans="1:12" x14ac:dyDescent="0.35">
      <c r="A735" t="s">
        <v>1034</v>
      </c>
      <c r="B735">
        <v>45579</v>
      </c>
      <c r="C735" t="s">
        <v>383</v>
      </c>
      <c r="D735" t="s">
        <v>14</v>
      </c>
      <c r="E735" t="s">
        <v>33</v>
      </c>
      <c r="F735" t="s">
        <v>92</v>
      </c>
      <c r="G735">
        <v>3</v>
      </c>
      <c r="H735" s="2">
        <v>100</v>
      </c>
      <c r="I735" s="2">
        <v>300</v>
      </c>
      <c r="J735" s="2">
        <v>209.51</v>
      </c>
      <c r="K735" s="2">
        <v>90.49</v>
      </c>
      <c r="L735" t="s">
        <v>44</v>
      </c>
    </row>
    <row r="736" spans="1:12" x14ac:dyDescent="0.35">
      <c r="A736" t="s">
        <v>1035</v>
      </c>
      <c r="B736">
        <v>45502</v>
      </c>
      <c r="C736" t="s">
        <v>438</v>
      </c>
      <c r="D736" t="s">
        <v>14</v>
      </c>
      <c r="E736" t="s">
        <v>29</v>
      </c>
      <c r="F736" t="s">
        <v>47</v>
      </c>
      <c r="G736">
        <v>3</v>
      </c>
      <c r="H736" s="2">
        <v>45</v>
      </c>
      <c r="I736" s="2">
        <v>135</v>
      </c>
      <c r="J736" s="2">
        <v>72.709999999999994</v>
      </c>
      <c r="K736" s="2">
        <v>62.29</v>
      </c>
      <c r="L736" t="s">
        <v>21</v>
      </c>
    </row>
    <row r="737" spans="1:12" x14ac:dyDescent="0.35">
      <c r="A737" t="s">
        <v>1036</v>
      </c>
      <c r="B737">
        <v>45383</v>
      </c>
      <c r="C737" t="s">
        <v>527</v>
      </c>
      <c r="D737" t="s">
        <v>42</v>
      </c>
      <c r="E737" t="s">
        <v>33</v>
      </c>
      <c r="F737" t="s">
        <v>55</v>
      </c>
      <c r="G737">
        <v>4</v>
      </c>
      <c r="H737" s="2">
        <v>76</v>
      </c>
      <c r="I737" s="2">
        <v>304</v>
      </c>
      <c r="J737" s="2">
        <v>161.4</v>
      </c>
      <c r="K737" s="2">
        <v>142.6</v>
      </c>
      <c r="L737" t="s">
        <v>17</v>
      </c>
    </row>
    <row r="738" spans="1:12" x14ac:dyDescent="0.35">
      <c r="A738" t="s">
        <v>1037</v>
      </c>
      <c r="B738">
        <v>45465</v>
      </c>
      <c r="C738" t="s">
        <v>440</v>
      </c>
      <c r="D738" t="s">
        <v>24</v>
      </c>
      <c r="E738" t="s">
        <v>15</v>
      </c>
      <c r="F738" t="s">
        <v>16</v>
      </c>
      <c r="G738">
        <v>1</v>
      </c>
      <c r="H738" s="2">
        <v>77</v>
      </c>
      <c r="I738" s="2">
        <v>77</v>
      </c>
      <c r="J738" s="2">
        <v>49</v>
      </c>
      <c r="K738" s="2">
        <v>28</v>
      </c>
      <c r="L738" t="s">
        <v>17</v>
      </c>
    </row>
    <row r="739" spans="1:12" x14ac:dyDescent="0.35">
      <c r="A739" t="s">
        <v>1038</v>
      </c>
      <c r="B739">
        <v>45463</v>
      </c>
      <c r="C739" t="s">
        <v>527</v>
      </c>
      <c r="D739" t="s">
        <v>42</v>
      </c>
      <c r="E739" t="s">
        <v>38</v>
      </c>
      <c r="F739" t="s">
        <v>39</v>
      </c>
      <c r="G739">
        <v>3</v>
      </c>
      <c r="H739" s="2">
        <v>60</v>
      </c>
      <c r="I739" s="2">
        <v>180</v>
      </c>
      <c r="J739" s="2">
        <v>123.88</v>
      </c>
      <c r="K739" s="2">
        <v>56.12</v>
      </c>
      <c r="L739" t="s">
        <v>17</v>
      </c>
    </row>
    <row r="740" spans="1:12" x14ac:dyDescent="0.35">
      <c r="A740" t="s">
        <v>1039</v>
      </c>
      <c r="B740">
        <v>45411</v>
      </c>
      <c r="C740" t="s">
        <v>1040</v>
      </c>
      <c r="D740" t="s">
        <v>24</v>
      </c>
      <c r="E740" t="s">
        <v>33</v>
      </c>
      <c r="F740" t="s">
        <v>55</v>
      </c>
      <c r="G740">
        <v>1</v>
      </c>
      <c r="H740" s="2">
        <v>95</v>
      </c>
      <c r="I740" s="2">
        <v>95</v>
      </c>
      <c r="J740" s="2">
        <v>48.88</v>
      </c>
      <c r="K740" s="2">
        <v>46.12</v>
      </c>
      <c r="L740" t="s">
        <v>44</v>
      </c>
    </row>
    <row r="741" spans="1:12" x14ac:dyDescent="0.35">
      <c r="A741" t="s">
        <v>1041</v>
      </c>
      <c r="B741">
        <v>45556</v>
      </c>
      <c r="C741" t="s">
        <v>578</v>
      </c>
      <c r="D741" t="s">
        <v>42</v>
      </c>
      <c r="E741" t="s">
        <v>15</v>
      </c>
      <c r="F741" t="s">
        <v>25</v>
      </c>
      <c r="G741">
        <v>4</v>
      </c>
      <c r="H741" s="2">
        <v>98</v>
      </c>
      <c r="I741" s="2">
        <v>392</v>
      </c>
      <c r="J741" s="2">
        <v>224.98</v>
      </c>
      <c r="K741" s="2">
        <v>167.02</v>
      </c>
      <c r="L741" t="s">
        <v>35</v>
      </c>
    </row>
    <row r="742" spans="1:12" x14ac:dyDescent="0.35">
      <c r="A742" t="s">
        <v>1042</v>
      </c>
      <c r="B742">
        <v>45341</v>
      </c>
      <c r="C742" t="s">
        <v>51</v>
      </c>
      <c r="D742" t="s">
        <v>28</v>
      </c>
      <c r="E742" t="s">
        <v>33</v>
      </c>
      <c r="F742" t="s">
        <v>92</v>
      </c>
      <c r="G742">
        <v>3</v>
      </c>
      <c r="H742" s="2">
        <v>26</v>
      </c>
      <c r="I742" s="2">
        <v>78</v>
      </c>
      <c r="J742" s="2">
        <v>52.68</v>
      </c>
      <c r="K742" s="2">
        <v>25.32</v>
      </c>
      <c r="L742" t="s">
        <v>21</v>
      </c>
    </row>
    <row r="743" spans="1:12" x14ac:dyDescent="0.35">
      <c r="A743" t="s">
        <v>1043</v>
      </c>
      <c r="B743">
        <v>45631</v>
      </c>
      <c r="C743" t="s">
        <v>320</v>
      </c>
      <c r="D743" t="s">
        <v>28</v>
      </c>
      <c r="E743" t="s">
        <v>29</v>
      </c>
      <c r="F743" t="s">
        <v>30</v>
      </c>
      <c r="G743">
        <v>3</v>
      </c>
      <c r="H743" s="2">
        <v>94</v>
      </c>
      <c r="I743" s="2">
        <v>282</v>
      </c>
      <c r="J743" s="2">
        <v>190.35</v>
      </c>
      <c r="K743" s="2">
        <v>91.65</v>
      </c>
      <c r="L743" t="s">
        <v>35</v>
      </c>
    </row>
    <row r="744" spans="1:12" x14ac:dyDescent="0.35">
      <c r="A744" t="s">
        <v>1044</v>
      </c>
      <c r="B744">
        <v>45396</v>
      </c>
      <c r="C744" t="s">
        <v>83</v>
      </c>
      <c r="D744" t="s">
        <v>24</v>
      </c>
      <c r="E744" t="s">
        <v>15</v>
      </c>
      <c r="F744" t="s">
        <v>16</v>
      </c>
      <c r="G744">
        <v>4</v>
      </c>
      <c r="H744" s="2">
        <v>95</v>
      </c>
      <c r="I744" s="2">
        <v>380</v>
      </c>
      <c r="J744" s="2">
        <v>249.21</v>
      </c>
      <c r="K744" s="2">
        <v>130.79</v>
      </c>
      <c r="L744" t="s">
        <v>17</v>
      </c>
    </row>
    <row r="745" spans="1:12" x14ac:dyDescent="0.35">
      <c r="A745" t="s">
        <v>1045</v>
      </c>
      <c r="B745">
        <v>45403</v>
      </c>
      <c r="C745" t="s">
        <v>621</v>
      </c>
      <c r="D745" t="s">
        <v>42</v>
      </c>
      <c r="E745" t="s">
        <v>29</v>
      </c>
      <c r="F745" t="s">
        <v>75</v>
      </c>
      <c r="G745">
        <v>3</v>
      </c>
      <c r="H745" s="2">
        <v>58</v>
      </c>
      <c r="I745" s="2">
        <v>174</v>
      </c>
      <c r="J745" s="2">
        <v>113.15</v>
      </c>
      <c r="K745" s="2">
        <v>60.85</v>
      </c>
      <c r="L745" t="s">
        <v>35</v>
      </c>
    </row>
    <row r="746" spans="1:12" x14ac:dyDescent="0.35">
      <c r="A746" t="s">
        <v>1046</v>
      </c>
      <c r="B746">
        <v>45346</v>
      </c>
      <c r="C746" t="s">
        <v>189</v>
      </c>
      <c r="D746" t="s">
        <v>14</v>
      </c>
      <c r="E746" t="s">
        <v>15</v>
      </c>
      <c r="F746" t="s">
        <v>16</v>
      </c>
      <c r="G746">
        <v>2</v>
      </c>
      <c r="H746" s="2">
        <v>24</v>
      </c>
      <c r="I746" s="2">
        <v>48</v>
      </c>
      <c r="J746" s="2">
        <v>26.79</v>
      </c>
      <c r="K746" s="2">
        <v>21.21</v>
      </c>
      <c r="L746" t="s">
        <v>21</v>
      </c>
    </row>
    <row r="747" spans="1:12" x14ac:dyDescent="0.35">
      <c r="A747" t="s">
        <v>1047</v>
      </c>
      <c r="B747">
        <v>45442</v>
      </c>
      <c r="C747" t="s">
        <v>438</v>
      </c>
      <c r="D747" t="s">
        <v>42</v>
      </c>
      <c r="E747" t="s">
        <v>29</v>
      </c>
      <c r="F747" t="s">
        <v>43</v>
      </c>
      <c r="G747">
        <v>5</v>
      </c>
      <c r="H747" s="2">
        <v>19</v>
      </c>
      <c r="I747" s="2">
        <v>95</v>
      </c>
      <c r="J747" s="2">
        <v>65.89</v>
      </c>
      <c r="K747" s="2">
        <v>29.11</v>
      </c>
      <c r="L747" t="s">
        <v>35</v>
      </c>
    </row>
    <row r="748" spans="1:12" x14ac:dyDescent="0.35">
      <c r="A748" t="s">
        <v>1048</v>
      </c>
      <c r="B748">
        <v>45456</v>
      </c>
      <c r="C748" t="s">
        <v>236</v>
      </c>
      <c r="D748" t="s">
        <v>24</v>
      </c>
      <c r="E748" t="s">
        <v>29</v>
      </c>
      <c r="F748" t="s">
        <v>43</v>
      </c>
      <c r="G748">
        <v>3</v>
      </c>
      <c r="H748" s="2">
        <v>91</v>
      </c>
      <c r="I748" s="2">
        <v>273</v>
      </c>
      <c r="J748" s="2">
        <v>180.35</v>
      </c>
      <c r="K748" s="2">
        <v>92.65</v>
      </c>
      <c r="L748" t="s">
        <v>35</v>
      </c>
    </row>
    <row r="749" spans="1:12" x14ac:dyDescent="0.35">
      <c r="A749" t="s">
        <v>1049</v>
      </c>
      <c r="B749">
        <v>45377</v>
      </c>
      <c r="C749" t="s">
        <v>421</v>
      </c>
      <c r="D749" t="s">
        <v>24</v>
      </c>
      <c r="E749" t="s">
        <v>38</v>
      </c>
      <c r="F749" t="s">
        <v>39</v>
      </c>
      <c r="G749">
        <v>4</v>
      </c>
      <c r="H749" s="2">
        <v>51</v>
      </c>
      <c r="I749" s="2">
        <v>204</v>
      </c>
      <c r="J749" s="2">
        <v>148.68</v>
      </c>
      <c r="K749" s="2">
        <v>55.32</v>
      </c>
      <c r="L749" t="s">
        <v>17</v>
      </c>
    </row>
    <row r="750" spans="1:12" x14ac:dyDescent="0.35">
      <c r="A750" t="s">
        <v>1050</v>
      </c>
      <c r="B750">
        <v>45607</v>
      </c>
      <c r="C750" t="s">
        <v>491</v>
      </c>
      <c r="D750" t="s">
        <v>28</v>
      </c>
      <c r="E750" t="s">
        <v>15</v>
      </c>
      <c r="F750" t="s">
        <v>16</v>
      </c>
      <c r="G750">
        <v>4</v>
      </c>
      <c r="H750" s="2">
        <v>13</v>
      </c>
      <c r="I750" s="2">
        <v>52</v>
      </c>
      <c r="J750" s="2">
        <v>41.58</v>
      </c>
      <c r="K750" s="2">
        <v>10.42</v>
      </c>
      <c r="L750" t="s">
        <v>21</v>
      </c>
    </row>
    <row r="751" spans="1:12" x14ac:dyDescent="0.35">
      <c r="A751" t="s">
        <v>1051</v>
      </c>
      <c r="B751">
        <v>45537</v>
      </c>
      <c r="C751" t="s">
        <v>79</v>
      </c>
      <c r="D751" t="s">
        <v>42</v>
      </c>
      <c r="E751" t="s">
        <v>15</v>
      </c>
      <c r="F751" t="s">
        <v>16</v>
      </c>
      <c r="G751">
        <v>3</v>
      </c>
      <c r="H751" s="2">
        <v>76</v>
      </c>
      <c r="I751" s="2">
        <v>228</v>
      </c>
      <c r="J751" s="2">
        <v>114.9</v>
      </c>
      <c r="K751" s="2">
        <v>113.1</v>
      </c>
      <c r="L751" t="s">
        <v>35</v>
      </c>
    </row>
    <row r="752" spans="1:12" x14ac:dyDescent="0.35">
      <c r="A752" t="s">
        <v>1052</v>
      </c>
      <c r="B752">
        <v>45386</v>
      </c>
      <c r="C752" t="s">
        <v>196</v>
      </c>
      <c r="D752" t="s">
        <v>28</v>
      </c>
      <c r="E752" t="s">
        <v>33</v>
      </c>
      <c r="F752" t="s">
        <v>55</v>
      </c>
      <c r="G752">
        <v>5</v>
      </c>
      <c r="H752" s="2">
        <v>54</v>
      </c>
      <c r="I752" s="2">
        <v>270</v>
      </c>
      <c r="J752" s="2">
        <v>171.09</v>
      </c>
      <c r="K752" s="2">
        <v>98.91</v>
      </c>
      <c r="L752" t="s">
        <v>21</v>
      </c>
    </row>
    <row r="753" spans="1:12" x14ac:dyDescent="0.35">
      <c r="A753" t="s">
        <v>1053</v>
      </c>
      <c r="B753">
        <v>45438</v>
      </c>
      <c r="C753" t="s">
        <v>704</v>
      </c>
      <c r="D753" t="s">
        <v>42</v>
      </c>
      <c r="E753" t="s">
        <v>38</v>
      </c>
      <c r="F753" t="s">
        <v>58</v>
      </c>
      <c r="G753">
        <v>3</v>
      </c>
      <c r="H753" s="2">
        <v>92</v>
      </c>
      <c r="I753" s="2">
        <v>276</v>
      </c>
      <c r="J753" s="2">
        <v>183.69</v>
      </c>
      <c r="K753" s="2">
        <v>92.31</v>
      </c>
      <c r="L753" t="s">
        <v>35</v>
      </c>
    </row>
    <row r="754" spans="1:12" x14ac:dyDescent="0.35">
      <c r="A754" t="s">
        <v>1054</v>
      </c>
      <c r="B754">
        <v>45609</v>
      </c>
      <c r="C754" t="s">
        <v>77</v>
      </c>
      <c r="D754" t="s">
        <v>42</v>
      </c>
      <c r="E754" t="s">
        <v>33</v>
      </c>
      <c r="F754" t="s">
        <v>92</v>
      </c>
      <c r="G754">
        <v>2</v>
      </c>
      <c r="H754" s="2">
        <v>15</v>
      </c>
      <c r="I754" s="2">
        <v>30</v>
      </c>
      <c r="J754" s="2">
        <v>22.82</v>
      </c>
      <c r="K754" s="2">
        <v>7.18</v>
      </c>
      <c r="L754" t="s">
        <v>44</v>
      </c>
    </row>
    <row r="755" spans="1:12" x14ac:dyDescent="0.35">
      <c r="A755" t="s">
        <v>1055</v>
      </c>
      <c r="B755">
        <v>45491</v>
      </c>
      <c r="C755" t="s">
        <v>500</v>
      </c>
      <c r="D755" t="s">
        <v>42</v>
      </c>
      <c r="E755" t="s">
        <v>15</v>
      </c>
      <c r="F755" t="s">
        <v>20</v>
      </c>
      <c r="G755">
        <v>1</v>
      </c>
      <c r="H755" s="2">
        <v>47</v>
      </c>
      <c r="I755" s="2">
        <v>47</v>
      </c>
      <c r="J755" s="2">
        <v>24.46</v>
      </c>
      <c r="K755" s="2">
        <v>22.54</v>
      </c>
      <c r="L755" t="s">
        <v>44</v>
      </c>
    </row>
    <row r="756" spans="1:12" x14ac:dyDescent="0.35">
      <c r="A756" t="s">
        <v>1056</v>
      </c>
      <c r="B756">
        <v>45350</v>
      </c>
      <c r="C756" t="s">
        <v>326</v>
      </c>
      <c r="D756" t="s">
        <v>42</v>
      </c>
      <c r="E756" t="s">
        <v>38</v>
      </c>
      <c r="F756" t="s">
        <v>58</v>
      </c>
      <c r="G756">
        <v>2</v>
      </c>
      <c r="H756" s="2">
        <v>17</v>
      </c>
      <c r="I756" s="2">
        <v>34</v>
      </c>
      <c r="J756" s="2">
        <v>20.92</v>
      </c>
      <c r="K756" s="2">
        <v>13.08</v>
      </c>
      <c r="L756" t="s">
        <v>35</v>
      </c>
    </row>
    <row r="757" spans="1:12" x14ac:dyDescent="0.35">
      <c r="A757" t="s">
        <v>1057</v>
      </c>
      <c r="B757">
        <v>45644</v>
      </c>
      <c r="C757" t="s">
        <v>284</v>
      </c>
      <c r="D757" t="s">
        <v>28</v>
      </c>
      <c r="E757" t="s">
        <v>15</v>
      </c>
      <c r="F757" t="s">
        <v>20</v>
      </c>
      <c r="G757">
        <v>5</v>
      </c>
      <c r="H757" s="2">
        <v>21</v>
      </c>
      <c r="I757" s="2">
        <v>105</v>
      </c>
      <c r="J757" s="2">
        <v>80.44</v>
      </c>
      <c r="K757" s="2">
        <v>24.56</v>
      </c>
      <c r="L757" t="s">
        <v>21</v>
      </c>
    </row>
    <row r="758" spans="1:12" x14ac:dyDescent="0.35">
      <c r="A758" t="s">
        <v>1058</v>
      </c>
      <c r="B758">
        <v>45462</v>
      </c>
      <c r="C758" t="s">
        <v>189</v>
      </c>
      <c r="D758" t="s">
        <v>14</v>
      </c>
      <c r="E758" t="s">
        <v>29</v>
      </c>
      <c r="F758" t="s">
        <v>43</v>
      </c>
      <c r="G758">
        <v>1</v>
      </c>
      <c r="H758" s="2">
        <v>56</v>
      </c>
      <c r="I758" s="2">
        <v>56</v>
      </c>
      <c r="J758" s="2">
        <v>32.700000000000003</v>
      </c>
      <c r="K758" s="2">
        <v>23.3</v>
      </c>
      <c r="L758" t="s">
        <v>17</v>
      </c>
    </row>
    <row r="759" spans="1:12" x14ac:dyDescent="0.35">
      <c r="A759" t="s">
        <v>1059</v>
      </c>
      <c r="B759">
        <v>45622</v>
      </c>
      <c r="C759" t="s">
        <v>169</v>
      </c>
      <c r="D759" t="s">
        <v>28</v>
      </c>
      <c r="E759" t="s">
        <v>15</v>
      </c>
      <c r="F759" t="s">
        <v>20</v>
      </c>
      <c r="G759">
        <v>3</v>
      </c>
      <c r="H759" s="2">
        <v>71</v>
      </c>
      <c r="I759" s="2">
        <v>213</v>
      </c>
      <c r="J759" s="2">
        <v>152.53</v>
      </c>
      <c r="K759" s="2">
        <v>60.47</v>
      </c>
      <c r="L759" t="s">
        <v>17</v>
      </c>
    </row>
    <row r="760" spans="1:12" x14ac:dyDescent="0.35">
      <c r="A760" t="s">
        <v>1060</v>
      </c>
      <c r="B760">
        <v>45471</v>
      </c>
      <c r="C760" t="s">
        <v>923</v>
      </c>
      <c r="D760" t="s">
        <v>28</v>
      </c>
      <c r="E760" t="s">
        <v>38</v>
      </c>
      <c r="F760" t="s">
        <v>52</v>
      </c>
      <c r="G760">
        <v>2</v>
      </c>
      <c r="H760" s="2">
        <v>15</v>
      </c>
      <c r="I760" s="2">
        <v>30</v>
      </c>
      <c r="J760" s="2">
        <v>18.100000000000001</v>
      </c>
      <c r="K760" s="2">
        <v>11.9</v>
      </c>
      <c r="L760" t="s">
        <v>35</v>
      </c>
    </row>
    <row r="761" spans="1:12" x14ac:dyDescent="0.35">
      <c r="A761" t="s">
        <v>1061</v>
      </c>
      <c r="B761">
        <v>45554</v>
      </c>
      <c r="C761" t="s">
        <v>302</v>
      </c>
      <c r="D761" t="s">
        <v>42</v>
      </c>
      <c r="E761" t="s">
        <v>33</v>
      </c>
      <c r="F761" t="s">
        <v>55</v>
      </c>
      <c r="G761">
        <v>5</v>
      </c>
      <c r="H761" s="2">
        <v>36</v>
      </c>
      <c r="I761" s="2">
        <v>180</v>
      </c>
      <c r="J761" s="2">
        <v>109.22</v>
      </c>
      <c r="K761" s="2">
        <v>70.78</v>
      </c>
      <c r="L761" t="s">
        <v>17</v>
      </c>
    </row>
    <row r="762" spans="1:12" x14ac:dyDescent="0.35">
      <c r="A762" t="s">
        <v>1062</v>
      </c>
      <c r="B762">
        <v>45351</v>
      </c>
      <c r="C762" t="s">
        <v>241</v>
      </c>
      <c r="D762" t="s">
        <v>24</v>
      </c>
      <c r="E762" t="s">
        <v>15</v>
      </c>
      <c r="F762" t="s">
        <v>16</v>
      </c>
      <c r="G762">
        <v>4</v>
      </c>
      <c r="H762" s="2">
        <v>62</v>
      </c>
      <c r="I762" s="2">
        <v>248</v>
      </c>
      <c r="J762" s="2">
        <v>139.59</v>
      </c>
      <c r="K762" s="2">
        <v>108.41</v>
      </c>
      <c r="L762" t="s">
        <v>44</v>
      </c>
    </row>
    <row r="763" spans="1:12" x14ac:dyDescent="0.35">
      <c r="A763" t="s">
        <v>1063</v>
      </c>
      <c r="B763">
        <v>45606</v>
      </c>
      <c r="C763" t="s">
        <v>122</v>
      </c>
      <c r="D763" t="s">
        <v>24</v>
      </c>
      <c r="E763" t="s">
        <v>33</v>
      </c>
      <c r="F763" t="s">
        <v>55</v>
      </c>
      <c r="G763">
        <v>2</v>
      </c>
      <c r="H763" s="2">
        <v>24</v>
      </c>
      <c r="I763" s="2">
        <v>48</v>
      </c>
      <c r="J763" s="2">
        <v>35.369999999999997</v>
      </c>
      <c r="K763" s="2">
        <v>12.63</v>
      </c>
      <c r="L763" t="s">
        <v>17</v>
      </c>
    </row>
    <row r="764" spans="1:12" x14ac:dyDescent="0.35">
      <c r="A764" t="s">
        <v>1064</v>
      </c>
      <c r="B764">
        <v>45337</v>
      </c>
      <c r="C764" t="s">
        <v>1065</v>
      </c>
      <c r="D764" t="s">
        <v>14</v>
      </c>
      <c r="E764" t="s">
        <v>15</v>
      </c>
      <c r="F764" t="s">
        <v>25</v>
      </c>
      <c r="G764">
        <v>5</v>
      </c>
      <c r="H764" s="2">
        <v>81</v>
      </c>
      <c r="I764" s="2">
        <v>405</v>
      </c>
      <c r="J764" s="2">
        <v>252.37</v>
      </c>
      <c r="K764" s="2">
        <v>152.63</v>
      </c>
      <c r="L764" t="s">
        <v>44</v>
      </c>
    </row>
    <row r="765" spans="1:12" x14ac:dyDescent="0.35">
      <c r="A765" t="s">
        <v>1066</v>
      </c>
      <c r="B765">
        <v>45403</v>
      </c>
      <c r="C765" t="s">
        <v>251</v>
      </c>
      <c r="D765" t="s">
        <v>28</v>
      </c>
      <c r="E765" t="s">
        <v>29</v>
      </c>
      <c r="F765" t="s">
        <v>43</v>
      </c>
      <c r="G765">
        <v>2</v>
      </c>
      <c r="H765" s="2">
        <v>82</v>
      </c>
      <c r="I765" s="2">
        <v>164</v>
      </c>
      <c r="J765" s="2">
        <v>129.79</v>
      </c>
      <c r="K765" s="2">
        <v>34.21</v>
      </c>
      <c r="L765" t="s">
        <v>21</v>
      </c>
    </row>
    <row r="766" spans="1:12" x14ac:dyDescent="0.35">
      <c r="A766" t="s">
        <v>1067</v>
      </c>
      <c r="B766">
        <v>45642</v>
      </c>
      <c r="C766" t="s">
        <v>746</v>
      </c>
      <c r="D766" t="s">
        <v>24</v>
      </c>
      <c r="E766" t="s">
        <v>15</v>
      </c>
      <c r="F766" t="s">
        <v>25</v>
      </c>
      <c r="G766">
        <v>1</v>
      </c>
      <c r="H766" s="2">
        <v>33</v>
      </c>
      <c r="I766" s="2">
        <v>33</v>
      </c>
      <c r="J766" s="2">
        <v>18.510000000000002</v>
      </c>
      <c r="K766" s="2">
        <v>14.49</v>
      </c>
      <c r="L766" t="s">
        <v>21</v>
      </c>
    </row>
    <row r="767" spans="1:12" x14ac:dyDescent="0.35">
      <c r="A767" t="s">
        <v>1068</v>
      </c>
      <c r="B767">
        <v>45348</v>
      </c>
      <c r="C767" t="s">
        <v>778</v>
      </c>
      <c r="D767" t="s">
        <v>42</v>
      </c>
      <c r="E767" t="s">
        <v>29</v>
      </c>
      <c r="F767" t="s">
        <v>47</v>
      </c>
      <c r="G767">
        <v>5</v>
      </c>
      <c r="H767" s="2">
        <v>44</v>
      </c>
      <c r="I767" s="2">
        <v>220</v>
      </c>
      <c r="J767" s="2">
        <v>158.77000000000001</v>
      </c>
      <c r="K767" s="2">
        <v>61.23</v>
      </c>
      <c r="L767" t="s">
        <v>17</v>
      </c>
    </row>
    <row r="768" spans="1:12" x14ac:dyDescent="0.35">
      <c r="A768" t="s">
        <v>1069</v>
      </c>
      <c r="B768">
        <v>45465</v>
      </c>
      <c r="C768" t="s">
        <v>239</v>
      </c>
      <c r="D768" t="s">
        <v>28</v>
      </c>
      <c r="E768" t="s">
        <v>29</v>
      </c>
      <c r="F768" t="s">
        <v>30</v>
      </c>
      <c r="G768">
        <v>2</v>
      </c>
      <c r="H768" s="2">
        <v>74</v>
      </c>
      <c r="I768" s="2">
        <v>148</v>
      </c>
      <c r="J768" s="2">
        <v>77.09</v>
      </c>
      <c r="K768" s="2">
        <v>70.91</v>
      </c>
      <c r="L768" t="s">
        <v>44</v>
      </c>
    </row>
    <row r="769" spans="1:12" x14ac:dyDescent="0.35">
      <c r="A769" t="s">
        <v>1070</v>
      </c>
      <c r="B769">
        <v>45472</v>
      </c>
      <c r="C769" t="s">
        <v>338</v>
      </c>
      <c r="D769" t="s">
        <v>28</v>
      </c>
      <c r="E769" t="s">
        <v>29</v>
      </c>
      <c r="F769" t="s">
        <v>43</v>
      </c>
      <c r="G769">
        <v>2</v>
      </c>
      <c r="H769" s="2">
        <v>89</v>
      </c>
      <c r="I769" s="2">
        <v>178</v>
      </c>
      <c r="J769" s="2">
        <v>97</v>
      </c>
      <c r="K769" s="2">
        <v>81</v>
      </c>
      <c r="L769" t="s">
        <v>17</v>
      </c>
    </row>
    <row r="770" spans="1:12" x14ac:dyDescent="0.35">
      <c r="A770" t="s">
        <v>1071</v>
      </c>
      <c r="B770">
        <v>45580</v>
      </c>
      <c r="C770" t="s">
        <v>193</v>
      </c>
      <c r="D770" t="s">
        <v>42</v>
      </c>
      <c r="E770" t="s">
        <v>15</v>
      </c>
      <c r="F770" t="s">
        <v>16</v>
      </c>
      <c r="G770">
        <v>1</v>
      </c>
      <c r="H770" s="2">
        <v>47</v>
      </c>
      <c r="I770" s="2">
        <v>47</v>
      </c>
      <c r="J770" s="2">
        <v>25.39</v>
      </c>
      <c r="K770" s="2">
        <v>21.61</v>
      </c>
      <c r="L770" t="s">
        <v>21</v>
      </c>
    </row>
    <row r="771" spans="1:12" x14ac:dyDescent="0.35">
      <c r="A771" t="s">
        <v>1072</v>
      </c>
      <c r="B771">
        <v>45442</v>
      </c>
      <c r="C771" t="s">
        <v>85</v>
      </c>
      <c r="D771" t="s">
        <v>24</v>
      </c>
      <c r="E771" t="s">
        <v>33</v>
      </c>
      <c r="F771" t="s">
        <v>34</v>
      </c>
      <c r="G771">
        <v>5</v>
      </c>
      <c r="H771" s="2">
        <v>99</v>
      </c>
      <c r="I771" s="2">
        <v>495</v>
      </c>
      <c r="J771" s="2">
        <v>389.29</v>
      </c>
      <c r="K771" s="2">
        <v>105.71</v>
      </c>
      <c r="L771" t="s">
        <v>44</v>
      </c>
    </row>
    <row r="772" spans="1:12" x14ac:dyDescent="0.35">
      <c r="A772" t="s">
        <v>1073</v>
      </c>
      <c r="B772">
        <v>45571</v>
      </c>
      <c r="C772" t="s">
        <v>500</v>
      </c>
      <c r="D772" t="s">
        <v>42</v>
      </c>
      <c r="E772" t="s">
        <v>33</v>
      </c>
      <c r="F772" t="s">
        <v>55</v>
      </c>
      <c r="G772">
        <v>5</v>
      </c>
      <c r="H772" s="2">
        <v>48</v>
      </c>
      <c r="I772" s="2">
        <v>240</v>
      </c>
      <c r="J772" s="2">
        <v>128.41999999999999</v>
      </c>
      <c r="K772" s="2">
        <v>111.58</v>
      </c>
      <c r="L772" t="s">
        <v>44</v>
      </c>
    </row>
    <row r="773" spans="1:12" x14ac:dyDescent="0.35">
      <c r="A773" t="s">
        <v>1074</v>
      </c>
      <c r="B773">
        <v>45449</v>
      </c>
      <c r="C773" t="s">
        <v>1007</v>
      </c>
      <c r="D773" t="s">
        <v>14</v>
      </c>
      <c r="E773" t="s">
        <v>29</v>
      </c>
      <c r="F773" t="s">
        <v>30</v>
      </c>
      <c r="G773">
        <v>2</v>
      </c>
      <c r="H773" s="2">
        <v>84</v>
      </c>
      <c r="I773" s="2">
        <v>168</v>
      </c>
      <c r="J773" s="2">
        <v>123.71</v>
      </c>
      <c r="K773" s="2">
        <v>44.29</v>
      </c>
      <c r="L773" t="s">
        <v>17</v>
      </c>
    </row>
    <row r="774" spans="1:12" x14ac:dyDescent="0.35">
      <c r="A774" t="s">
        <v>1075</v>
      </c>
      <c r="B774">
        <v>45302</v>
      </c>
      <c r="C774" t="s">
        <v>173</v>
      </c>
      <c r="D774" t="s">
        <v>24</v>
      </c>
      <c r="E774" t="s">
        <v>29</v>
      </c>
      <c r="F774" t="s">
        <v>47</v>
      </c>
      <c r="G774">
        <v>3</v>
      </c>
      <c r="H774" s="2">
        <v>72</v>
      </c>
      <c r="I774" s="2">
        <v>216</v>
      </c>
      <c r="J774" s="2">
        <v>132.15</v>
      </c>
      <c r="K774" s="2">
        <v>83.85</v>
      </c>
      <c r="L774" t="s">
        <v>44</v>
      </c>
    </row>
    <row r="775" spans="1:12" x14ac:dyDescent="0.35">
      <c r="A775" t="s">
        <v>1076</v>
      </c>
      <c r="B775">
        <v>45332</v>
      </c>
      <c r="C775" t="s">
        <v>373</v>
      </c>
      <c r="D775" t="s">
        <v>24</v>
      </c>
      <c r="E775" t="s">
        <v>38</v>
      </c>
      <c r="F775" t="s">
        <v>39</v>
      </c>
      <c r="G775">
        <v>2</v>
      </c>
      <c r="H775" s="2">
        <v>64</v>
      </c>
      <c r="I775" s="2">
        <v>128</v>
      </c>
      <c r="J775" s="2">
        <v>74.78</v>
      </c>
      <c r="K775" s="2">
        <v>53.22</v>
      </c>
      <c r="L775" t="s">
        <v>44</v>
      </c>
    </row>
    <row r="776" spans="1:12" x14ac:dyDescent="0.35">
      <c r="A776" t="s">
        <v>1077</v>
      </c>
      <c r="B776">
        <v>45337</v>
      </c>
      <c r="C776" t="s">
        <v>87</v>
      </c>
      <c r="D776" t="s">
        <v>42</v>
      </c>
      <c r="E776" t="s">
        <v>38</v>
      </c>
      <c r="F776" t="s">
        <v>58</v>
      </c>
      <c r="G776">
        <v>2</v>
      </c>
      <c r="H776" s="2">
        <v>54</v>
      </c>
      <c r="I776" s="2">
        <v>108</v>
      </c>
      <c r="J776" s="2">
        <v>60.09</v>
      </c>
      <c r="K776" s="2">
        <v>47.91</v>
      </c>
      <c r="L776" t="s">
        <v>21</v>
      </c>
    </row>
    <row r="777" spans="1:12" x14ac:dyDescent="0.35">
      <c r="A777" t="s">
        <v>1078</v>
      </c>
      <c r="B777">
        <v>45392</v>
      </c>
      <c r="C777" t="s">
        <v>187</v>
      </c>
      <c r="D777" t="s">
        <v>14</v>
      </c>
      <c r="E777" t="s">
        <v>38</v>
      </c>
      <c r="F777" t="s">
        <v>58</v>
      </c>
      <c r="G777">
        <v>2</v>
      </c>
      <c r="H777" s="2">
        <v>77</v>
      </c>
      <c r="I777" s="2">
        <v>154</v>
      </c>
      <c r="J777" s="2">
        <v>100.62</v>
      </c>
      <c r="K777" s="2">
        <v>53.38</v>
      </c>
      <c r="L777" t="s">
        <v>17</v>
      </c>
    </row>
    <row r="778" spans="1:12" x14ac:dyDescent="0.35">
      <c r="A778" t="s">
        <v>1079</v>
      </c>
      <c r="B778">
        <v>45607</v>
      </c>
      <c r="C778" t="s">
        <v>389</v>
      </c>
      <c r="D778" t="s">
        <v>14</v>
      </c>
      <c r="E778" t="s">
        <v>33</v>
      </c>
      <c r="F778" t="s">
        <v>92</v>
      </c>
      <c r="G778">
        <v>1</v>
      </c>
      <c r="H778" s="2">
        <v>65</v>
      </c>
      <c r="I778" s="2">
        <v>65</v>
      </c>
      <c r="J778" s="2">
        <v>49.16</v>
      </c>
      <c r="K778" s="2">
        <v>15.84</v>
      </c>
      <c r="L778" t="s">
        <v>35</v>
      </c>
    </row>
    <row r="779" spans="1:12" x14ac:dyDescent="0.35">
      <c r="A779" t="s">
        <v>1080</v>
      </c>
      <c r="B779">
        <v>45474</v>
      </c>
      <c r="C779" t="s">
        <v>130</v>
      </c>
      <c r="D779" t="s">
        <v>24</v>
      </c>
      <c r="E779" t="s">
        <v>29</v>
      </c>
      <c r="F779" t="s">
        <v>75</v>
      </c>
      <c r="G779">
        <v>1</v>
      </c>
      <c r="H779" s="2">
        <v>17</v>
      </c>
      <c r="I779" s="2">
        <v>17</v>
      </c>
      <c r="J779" s="2">
        <v>12.03</v>
      </c>
      <c r="K779" s="2">
        <v>4.97</v>
      </c>
      <c r="L779" t="s">
        <v>21</v>
      </c>
    </row>
    <row r="780" spans="1:12" x14ac:dyDescent="0.35">
      <c r="A780" t="s">
        <v>1081</v>
      </c>
      <c r="B780">
        <v>45509</v>
      </c>
      <c r="C780" t="s">
        <v>538</v>
      </c>
      <c r="D780" t="s">
        <v>24</v>
      </c>
      <c r="E780" t="s">
        <v>15</v>
      </c>
      <c r="F780" t="s">
        <v>25</v>
      </c>
      <c r="G780">
        <v>1</v>
      </c>
      <c r="H780" s="2">
        <v>79</v>
      </c>
      <c r="I780" s="2">
        <v>79</v>
      </c>
      <c r="J780" s="2">
        <v>61.26</v>
      </c>
      <c r="K780" s="2">
        <v>17.739999999999998</v>
      </c>
      <c r="L780" t="s">
        <v>17</v>
      </c>
    </row>
    <row r="781" spans="1:12" x14ac:dyDescent="0.35">
      <c r="A781" t="s">
        <v>1082</v>
      </c>
      <c r="B781">
        <v>45411</v>
      </c>
      <c r="C781" t="s">
        <v>1083</v>
      </c>
      <c r="D781" t="s">
        <v>24</v>
      </c>
      <c r="E781" t="s">
        <v>33</v>
      </c>
      <c r="F781" t="s">
        <v>34</v>
      </c>
      <c r="G781">
        <v>4</v>
      </c>
      <c r="H781" s="2">
        <v>84</v>
      </c>
      <c r="I781" s="2">
        <v>336</v>
      </c>
      <c r="J781" s="2">
        <v>174.9</v>
      </c>
      <c r="K781" s="2">
        <v>161.1</v>
      </c>
      <c r="L781" t="s">
        <v>21</v>
      </c>
    </row>
    <row r="782" spans="1:12" x14ac:dyDescent="0.35">
      <c r="A782" t="s">
        <v>1084</v>
      </c>
      <c r="B782">
        <v>45558</v>
      </c>
      <c r="C782" t="s">
        <v>255</v>
      </c>
      <c r="D782" t="s">
        <v>42</v>
      </c>
      <c r="E782" t="s">
        <v>33</v>
      </c>
      <c r="F782" t="s">
        <v>92</v>
      </c>
      <c r="G782">
        <v>2</v>
      </c>
      <c r="H782" s="2">
        <v>82</v>
      </c>
      <c r="I782" s="2">
        <v>164</v>
      </c>
      <c r="J782" s="2">
        <v>102.24</v>
      </c>
      <c r="K782" s="2">
        <v>61.76</v>
      </c>
      <c r="L782" t="s">
        <v>35</v>
      </c>
    </row>
    <row r="783" spans="1:12" x14ac:dyDescent="0.35">
      <c r="A783" t="s">
        <v>1085</v>
      </c>
      <c r="B783">
        <v>45423</v>
      </c>
      <c r="C783" t="s">
        <v>376</v>
      </c>
      <c r="D783" t="s">
        <v>42</v>
      </c>
      <c r="E783" t="s">
        <v>15</v>
      </c>
      <c r="F783" t="s">
        <v>25</v>
      </c>
      <c r="G783">
        <v>4</v>
      </c>
      <c r="H783" s="2">
        <v>79</v>
      </c>
      <c r="I783" s="2">
        <v>316</v>
      </c>
      <c r="J783" s="2">
        <v>163.92</v>
      </c>
      <c r="K783" s="2">
        <v>152.08000000000001</v>
      </c>
      <c r="L783" t="s">
        <v>17</v>
      </c>
    </row>
    <row r="784" spans="1:12" x14ac:dyDescent="0.35">
      <c r="A784" t="s">
        <v>1086</v>
      </c>
      <c r="B784">
        <v>45388</v>
      </c>
      <c r="C784" t="s">
        <v>942</v>
      </c>
      <c r="D784" t="s">
        <v>28</v>
      </c>
      <c r="E784" t="s">
        <v>29</v>
      </c>
      <c r="F784" t="s">
        <v>43</v>
      </c>
      <c r="G784">
        <v>4</v>
      </c>
      <c r="H784" s="2">
        <v>18</v>
      </c>
      <c r="I784" s="2">
        <v>72</v>
      </c>
      <c r="J784" s="2">
        <v>37.700000000000003</v>
      </c>
      <c r="K784" s="2">
        <v>34.299999999999997</v>
      </c>
      <c r="L784" t="s">
        <v>44</v>
      </c>
    </row>
    <row r="785" spans="1:12" x14ac:dyDescent="0.35">
      <c r="A785" t="s">
        <v>1087</v>
      </c>
      <c r="B785">
        <v>45314</v>
      </c>
      <c r="C785" t="s">
        <v>107</v>
      </c>
      <c r="D785" t="s">
        <v>14</v>
      </c>
      <c r="E785" t="s">
        <v>29</v>
      </c>
      <c r="F785" t="s">
        <v>75</v>
      </c>
      <c r="G785">
        <v>1</v>
      </c>
      <c r="H785" s="2">
        <v>20</v>
      </c>
      <c r="I785" s="2">
        <v>20</v>
      </c>
      <c r="J785" s="2">
        <v>15.7</v>
      </c>
      <c r="K785" s="2">
        <v>4.3</v>
      </c>
      <c r="L785" t="s">
        <v>35</v>
      </c>
    </row>
    <row r="786" spans="1:12" x14ac:dyDescent="0.35">
      <c r="A786" t="s">
        <v>1088</v>
      </c>
      <c r="B786">
        <v>45333</v>
      </c>
      <c r="C786" t="s">
        <v>704</v>
      </c>
      <c r="D786" t="s">
        <v>14</v>
      </c>
      <c r="E786" t="s">
        <v>29</v>
      </c>
      <c r="F786" t="s">
        <v>43</v>
      </c>
      <c r="G786">
        <v>2</v>
      </c>
      <c r="H786" s="2">
        <v>81</v>
      </c>
      <c r="I786" s="2">
        <v>162</v>
      </c>
      <c r="J786" s="2">
        <v>99.61</v>
      </c>
      <c r="K786" s="2">
        <v>62.39</v>
      </c>
      <c r="L786" t="s">
        <v>35</v>
      </c>
    </row>
    <row r="787" spans="1:12" x14ac:dyDescent="0.35">
      <c r="A787" t="s">
        <v>1089</v>
      </c>
      <c r="B787">
        <v>45388</v>
      </c>
      <c r="C787" t="s">
        <v>275</v>
      </c>
      <c r="D787" t="s">
        <v>14</v>
      </c>
      <c r="E787" t="s">
        <v>15</v>
      </c>
      <c r="F787" t="s">
        <v>25</v>
      </c>
      <c r="G787">
        <v>1</v>
      </c>
      <c r="H787" s="2">
        <v>66</v>
      </c>
      <c r="I787" s="2">
        <v>66</v>
      </c>
      <c r="J787" s="2">
        <v>41.24</v>
      </c>
      <c r="K787" s="2">
        <v>24.76</v>
      </c>
      <c r="L787" t="s">
        <v>44</v>
      </c>
    </row>
    <row r="788" spans="1:12" x14ac:dyDescent="0.35">
      <c r="A788" t="s">
        <v>1090</v>
      </c>
      <c r="B788">
        <v>45454</v>
      </c>
      <c r="C788" t="s">
        <v>466</v>
      </c>
      <c r="D788" t="s">
        <v>14</v>
      </c>
      <c r="E788" t="s">
        <v>33</v>
      </c>
      <c r="F788" t="s">
        <v>92</v>
      </c>
      <c r="G788">
        <v>2</v>
      </c>
      <c r="H788" s="2">
        <v>31</v>
      </c>
      <c r="I788" s="2">
        <v>62</v>
      </c>
      <c r="J788" s="2">
        <v>32.46</v>
      </c>
      <c r="K788" s="2">
        <v>29.54</v>
      </c>
      <c r="L788" t="s">
        <v>44</v>
      </c>
    </row>
    <row r="789" spans="1:12" x14ac:dyDescent="0.35">
      <c r="A789" t="s">
        <v>1091</v>
      </c>
      <c r="B789">
        <v>45444</v>
      </c>
      <c r="C789" t="s">
        <v>404</v>
      </c>
      <c r="D789" t="s">
        <v>14</v>
      </c>
      <c r="E789" t="s">
        <v>15</v>
      </c>
      <c r="F789" t="s">
        <v>20</v>
      </c>
      <c r="G789">
        <v>5</v>
      </c>
      <c r="H789" s="2">
        <v>61</v>
      </c>
      <c r="I789" s="2">
        <v>305</v>
      </c>
      <c r="J789" s="2">
        <v>203.27</v>
      </c>
      <c r="K789" s="2">
        <v>101.73</v>
      </c>
      <c r="L789" t="s">
        <v>17</v>
      </c>
    </row>
    <row r="790" spans="1:12" x14ac:dyDescent="0.35">
      <c r="A790" t="s">
        <v>1092</v>
      </c>
      <c r="B790">
        <v>45304</v>
      </c>
      <c r="C790" t="s">
        <v>224</v>
      </c>
      <c r="D790" t="s">
        <v>14</v>
      </c>
      <c r="E790" t="s">
        <v>29</v>
      </c>
      <c r="F790" t="s">
        <v>47</v>
      </c>
      <c r="G790">
        <v>1</v>
      </c>
      <c r="H790" s="2">
        <v>11</v>
      </c>
      <c r="I790" s="2">
        <v>11</v>
      </c>
      <c r="J790" s="2">
        <v>5.86</v>
      </c>
      <c r="K790" s="2">
        <v>5.14</v>
      </c>
      <c r="L790" t="s">
        <v>35</v>
      </c>
    </row>
    <row r="791" spans="1:12" x14ac:dyDescent="0.35">
      <c r="A791" t="s">
        <v>1093</v>
      </c>
      <c r="B791">
        <v>45627</v>
      </c>
      <c r="C791" t="s">
        <v>23</v>
      </c>
      <c r="D791" t="s">
        <v>14</v>
      </c>
      <c r="E791" t="s">
        <v>38</v>
      </c>
      <c r="F791" t="s">
        <v>52</v>
      </c>
      <c r="G791">
        <v>1</v>
      </c>
      <c r="H791" s="2">
        <v>35</v>
      </c>
      <c r="I791" s="2">
        <v>35</v>
      </c>
      <c r="J791" s="2">
        <v>20.09</v>
      </c>
      <c r="K791" s="2">
        <v>14.91</v>
      </c>
      <c r="L791" t="s">
        <v>17</v>
      </c>
    </row>
    <row r="792" spans="1:12" x14ac:dyDescent="0.35">
      <c r="A792" t="s">
        <v>1094</v>
      </c>
      <c r="B792">
        <v>45539</v>
      </c>
      <c r="C792" t="s">
        <v>354</v>
      </c>
      <c r="D792" t="s">
        <v>24</v>
      </c>
      <c r="E792" t="s">
        <v>38</v>
      </c>
      <c r="F792" t="s">
        <v>52</v>
      </c>
      <c r="G792">
        <v>5</v>
      </c>
      <c r="H792" s="2">
        <v>72</v>
      </c>
      <c r="I792" s="2">
        <v>360</v>
      </c>
      <c r="J792" s="2">
        <v>265.86</v>
      </c>
      <c r="K792" s="2">
        <v>94.14</v>
      </c>
      <c r="L792" t="s">
        <v>17</v>
      </c>
    </row>
    <row r="793" spans="1:12" x14ac:dyDescent="0.35">
      <c r="A793" t="s">
        <v>1095</v>
      </c>
      <c r="B793">
        <v>45577</v>
      </c>
      <c r="C793" t="s">
        <v>486</v>
      </c>
      <c r="D793" t="s">
        <v>24</v>
      </c>
      <c r="E793" t="s">
        <v>15</v>
      </c>
      <c r="F793" t="s">
        <v>25</v>
      </c>
      <c r="G793">
        <v>2</v>
      </c>
      <c r="H793" s="2">
        <v>76</v>
      </c>
      <c r="I793" s="2">
        <v>152</v>
      </c>
      <c r="J793" s="2">
        <v>90.95</v>
      </c>
      <c r="K793" s="2">
        <v>61.05</v>
      </c>
      <c r="L793" t="s">
        <v>35</v>
      </c>
    </row>
    <row r="794" spans="1:12" x14ac:dyDescent="0.35">
      <c r="A794" t="s">
        <v>1096</v>
      </c>
      <c r="B794">
        <v>45439</v>
      </c>
      <c r="C794" t="s">
        <v>125</v>
      </c>
      <c r="D794" t="s">
        <v>14</v>
      </c>
      <c r="E794" t="s">
        <v>38</v>
      </c>
      <c r="F794" t="s">
        <v>52</v>
      </c>
      <c r="G794">
        <v>3</v>
      </c>
      <c r="H794" s="2">
        <v>42</v>
      </c>
      <c r="I794" s="2">
        <v>126</v>
      </c>
      <c r="J794" s="2">
        <v>63.5</v>
      </c>
      <c r="K794" s="2">
        <v>62.5</v>
      </c>
      <c r="L794" t="s">
        <v>35</v>
      </c>
    </row>
    <row r="795" spans="1:12" x14ac:dyDescent="0.35">
      <c r="A795" t="s">
        <v>1097</v>
      </c>
      <c r="B795">
        <v>45470</v>
      </c>
      <c r="C795" t="s">
        <v>27</v>
      </c>
      <c r="D795" t="s">
        <v>24</v>
      </c>
      <c r="E795" t="s">
        <v>33</v>
      </c>
      <c r="F795" t="s">
        <v>55</v>
      </c>
      <c r="G795">
        <v>3</v>
      </c>
      <c r="H795" s="2">
        <v>84</v>
      </c>
      <c r="I795" s="2">
        <v>252</v>
      </c>
      <c r="J795" s="2">
        <v>130.16999999999999</v>
      </c>
      <c r="K795" s="2">
        <v>121.83</v>
      </c>
      <c r="L795" t="s">
        <v>21</v>
      </c>
    </row>
    <row r="796" spans="1:12" x14ac:dyDescent="0.35">
      <c r="A796" t="s">
        <v>1098</v>
      </c>
      <c r="B796">
        <v>45366</v>
      </c>
      <c r="C796" t="s">
        <v>846</v>
      </c>
      <c r="D796" t="s">
        <v>42</v>
      </c>
      <c r="E796" t="s">
        <v>33</v>
      </c>
      <c r="F796" t="s">
        <v>34</v>
      </c>
      <c r="G796">
        <v>5</v>
      </c>
      <c r="H796" s="2">
        <v>75</v>
      </c>
      <c r="I796" s="2">
        <v>375</v>
      </c>
      <c r="J796" s="2">
        <v>256.95999999999998</v>
      </c>
      <c r="K796" s="2">
        <v>118.04</v>
      </c>
      <c r="L796" t="s">
        <v>35</v>
      </c>
    </row>
    <row r="797" spans="1:12" x14ac:dyDescent="0.35">
      <c r="A797" t="s">
        <v>1099</v>
      </c>
      <c r="B797">
        <v>45485</v>
      </c>
      <c r="C797" t="s">
        <v>590</v>
      </c>
      <c r="D797" t="s">
        <v>28</v>
      </c>
      <c r="E797" t="s">
        <v>38</v>
      </c>
      <c r="F797" t="s">
        <v>52</v>
      </c>
      <c r="G797">
        <v>2</v>
      </c>
      <c r="H797" s="2">
        <v>75</v>
      </c>
      <c r="I797" s="2">
        <v>150</v>
      </c>
      <c r="J797" s="2">
        <v>111.25</v>
      </c>
      <c r="K797" s="2">
        <v>38.75</v>
      </c>
      <c r="L797" t="s">
        <v>17</v>
      </c>
    </row>
    <row r="798" spans="1:12" x14ac:dyDescent="0.35">
      <c r="A798" t="s">
        <v>1100</v>
      </c>
      <c r="B798">
        <v>45402</v>
      </c>
      <c r="C798" t="s">
        <v>134</v>
      </c>
      <c r="D798" t="s">
        <v>14</v>
      </c>
      <c r="E798" t="s">
        <v>33</v>
      </c>
      <c r="F798" t="s">
        <v>34</v>
      </c>
      <c r="G798">
        <v>4</v>
      </c>
      <c r="H798" s="2">
        <v>38</v>
      </c>
      <c r="I798" s="2">
        <v>152</v>
      </c>
      <c r="J798" s="2">
        <v>91.09</v>
      </c>
      <c r="K798" s="2">
        <v>60.91</v>
      </c>
      <c r="L798" t="s">
        <v>17</v>
      </c>
    </row>
    <row r="799" spans="1:12" x14ac:dyDescent="0.35">
      <c r="A799" t="s">
        <v>1101</v>
      </c>
      <c r="B799">
        <v>45575</v>
      </c>
      <c r="C799" t="s">
        <v>735</v>
      </c>
      <c r="D799" t="s">
        <v>14</v>
      </c>
      <c r="E799" t="s">
        <v>38</v>
      </c>
      <c r="F799" t="s">
        <v>52</v>
      </c>
      <c r="G799">
        <v>2</v>
      </c>
      <c r="H799" s="2">
        <v>60</v>
      </c>
      <c r="I799" s="2">
        <v>120</v>
      </c>
      <c r="J799" s="2">
        <v>77.27</v>
      </c>
      <c r="K799" s="2">
        <v>42.73</v>
      </c>
      <c r="L799" t="s">
        <v>44</v>
      </c>
    </row>
    <row r="800" spans="1:12" x14ac:dyDescent="0.35">
      <c r="A800" t="s">
        <v>1102</v>
      </c>
      <c r="B800">
        <v>45438</v>
      </c>
      <c r="C800" t="s">
        <v>383</v>
      </c>
      <c r="D800" t="s">
        <v>24</v>
      </c>
      <c r="E800" t="s">
        <v>29</v>
      </c>
      <c r="F800" t="s">
        <v>47</v>
      </c>
      <c r="G800">
        <v>3</v>
      </c>
      <c r="H800" s="2">
        <v>29</v>
      </c>
      <c r="I800" s="2">
        <v>87</v>
      </c>
      <c r="J800" s="2">
        <v>45.14</v>
      </c>
      <c r="K800" s="2">
        <v>41.86</v>
      </c>
      <c r="L800" t="s">
        <v>44</v>
      </c>
    </row>
    <row r="801" spans="1:12" x14ac:dyDescent="0.35">
      <c r="A801" t="s">
        <v>1103</v>
      </c>
      <c r="B801">
        <v>45387</v>
      </c>
      <c r="C801" t="s">
        <v>402</v>
      </c>
      <c r="D801" t="s">
        <v>24</v>
      </c>
      <c r="E801" t="s">
        <v>15</v>
      </c>
      <c r="F801" t="s">
        <v>25</v>
      </c>
      <c r="G801">
        <v>5</v>
      </c>
      <c r="H801" s="2">
        <v>34</v>
      </c>
      <c r="I801" s="2">
        <v>170</v>
      </c>
      <c r="J801" s="2">
        <v>113.89</v>
      </c>
      <c r="K801" s="2">
        <v>56.11</v>
      </c>
      <c r="L801" t="s">
        <v>44</v>
      </c>
    </row>
    <row r="802" spans="1:12" x14ac:dyDescent="0.35">
      <c r="A802" t="s">
        <v>1104</v>
      </c>
      <c r="B802">
        <v>45589</v>
      </c>
      <c r="C802" t="s">
        <v>107</v>
      </c>
      <c r="D802" t="s">
        <v>24</v>
      </c>
      <c r="E802" t="s">
        <v>38</v>
      </c>
      <c r="F802" t="s">
        <v>52</v>
      </c>
      <c r="G802">
        <v>1</v>
      </c>
      <c r="H802" s="2">
        <v>74</v>
      </c>
      <c r="I802" s="2">
        <v>74</v>
      </c>
      <c r="J802" s="2">
        <v>53.31</v>
      </c>
      <c r="K802" s="2">
        <v>20.69</v>
      </c>
      <c r="L802" t="s">
        <v>35</v>
      </c>
    </row>
    <row r="803" spans="1:12" x14ac:dyDescent="0.35">
      <c r="A803" t="s">
        <v>1105</v>
      </c>
      <c r="B803">
        <v>45508</v>
      </c>
      <c r="C803" t="s">
        <v>125</v>
      </c>
      <c r="D803" t="s">
        <v>28</v>
      </c>
      <c r="E803" t="s">
        <v>15</v>
      </c>
      <c r="F803" t="s">
        <v>20</v>
      </c>
      <c r="G803">
        <v>2</v>
      </c>
      <c r="H803" s="2">
        <v>25</v>
      </c>
      <c r="I803" s="2">
        <v>50</v>
      </c>
      <c r="J803" s="2">
        <v>31.02</v>
      </c>
      <c r="K803" s="2">
        <v>18.98</v>
      </c>
      <c r="L803" t="s">
        <v>17</v>
      </c>
    </row>
    <row r="804" spans="1:12" x14ac:dyDescent="0.35">
      <c r="A804" t="s">
        <v>1106</v>
      </c>
      <c r="B804">
        <v>45549</v>
      </c>
      <c r="C804" t="s">
        <v>193</v>
      </c>
      <c r="D804" t="s">
        <v>14</v>
      </c>
      <c r="E804" t="s">
        <v>38</v>
      </c>
      <c r="F804" t="s">
        <v>39</v>
      </c>
      <c r="G804">
        <v>4</v>
      </c>
      <c r="H804" s="2">
        <v>78</v>
      </c>
      <c r="I804" s="2">
        <v>312</v>
      </c>
      <c r="J804" s="2">
        <v>231.16</v>
      </c>
      <c r="K804" s="2">
        <v>80.84</v>
      </c>
      <c r="L804" t="s">
        <v>35</v>
      </c>
    </row>
    <row r="805" spans="1:12" x14ac:dyDescent="0.35">
      <c r="A805" t="s">
        <v>1107</v>
      </c>
      <c r="B805">
        <v>45527</v>
      </c>
      <c r="C805" t="s">
        <v>205</v>
      </c>
      <c r="D805" t="s">
        <v>24</v>
      </c>
      <c r="E805" t="s">
        <v>15</v>
      </c>
      <c r="F805" t="s">
        <v>25</v>
      </c>
      <c r="G805">
        <v>3</v>
      </c>
      <c r="H805" s="2">
        <v>11</v>
      </c>
      <c r="I805" s="2">
        <v>33</v>
      </c>
      <c r="J805" s="2">
        <v>18.329999999999998</v>
      </c>
      <c r="K805" s="2">
        <v>14.67</v>
      </c>
      <c r="L805" t="s">
        <v>21</v>
      </c>
    </row>
    <row r="806" spans="1:12" x14ac:dyDescent="0.35">
      <c r="A806" t="s">
        <v>1108</v>
      </c>
      <c r="B806">
        <v>45618</v>
      </c>
      <c r="C806" t="s">
        <v>68</v>
      </c>
      <c r="D806" t="s">
        <v>24</v>
      </c>
      <c r="E806" t="s">
        <v>29</v>
      </c>
      <c r="F806" t="s">
        <v>43</v>
      </c>
      <c r="G806">
        <v>5</v>
      </c>
      <c r="H806" s="2">
        <v>42</v>
      </c>
      <c r="I806" s="2">
        <v>210</v>
      </c>
      <c r="J806" s="2">
        <v>165.97</v>
      </c>
      <c r="K806" s="2">
        <v>44.03</v>
      </c>
      <c r="L806" t="s">
        <v>21</v>
      </c>
    </row>
    <row r="807" spans="1:12" x14ac:dyDescent="0.35">
      <c r="A807" t="s">
        <v>1109</v>
      </c>
      <c r="B807">
        <v>45317</v>
      </c>
      <c r="C807" t="s">
        <v>1040</v>
      </c>
      <c r="D807" t="s">
        <v>14</v>
      </c>
      <c r="E807" t="s">
        <v>38</v>
      </c>
      <c r="F807" t="s">
        <v>58</v>
      </c>
      <c r="G807">
        <v>2</v>
      </c>
      <c r="H807" s="2">
        <v>17</v>
      </c>
      <c r="I807" s="2">
        <v>34</v>
      </c>
      <c r="J807" s="2">
        <v>26.73</v>
      </c>
      <c r="K807" s="2">
        <v>7.27</v>
      </c>
      <c r="L807" t="s">
        <v>17</v>
      </c>
    </row>
    <row r="808" spans="1:12" x14ac:dyDescent="0.35">
      <c r="A808" t="s">
        <v>1110</v>
      </c>
      <c r="B808">
        <v>45651</v>
      </c>
      <c r="C808" t="s">
        <v>179</v>
      </c>
      <c r="D808" t="s">
        <v>28</v>
      </c>
      <c r="E808" t="s">
        <v>15</v>
      </c>
      <c r="F808" t="s">
        <v>16</v>
      </c>
      <c r="G808">
        <v>2</v>
      </c>
      <c r="H808" s="2">
        <v>21</v>
      </c>
      <c r="I808" s="2">
        <v>42</v>
      </c>
      <c r="J808" s="2">
        <v>24.83</v>
      </c>
      <c r="K808" s="2">
        <v>17.170000000000002</v>
      </c>
      <c r="L808" t="s">
        <v>44</v>
      </c>
    </row>
    <row r="809" spans="1:12" x14ac:dyDescent="0.35">
      <c r="A809" t="s">
        <v>1111</v>
      </c>
      <c r="B809">
        <v>45582</v>
      </c>
      <c r="C809" t="s">
        <v>205</v>
      </c>
      <c r="D809" t="s">
        <v>24</v>
      </c>
      <c r="E809" t="s">
        <v>29</v>
      </c>
      <c r="F809" t="s">
        <v>30</v>
      </c>
      <c r="G809">
        <v>4</v>
      </c>
      <c r="H809" s="2">
        <v>46</v>
      </c>
      <c r="I809" s="2">
        <v>184</v>
      </c>
      <c r="J809" s="2">
        <v>134.18</v>
      </c>
      <c r="K809" s="2">
        <v>49.82</v>
      </c>
      <c r="L809" t="s">
        <v>17</v>
      </c>
    </row>
    <row r="810" spans="1:12" x14ac:dyDescent="0.35">
      <c r="A810" t="s">
        <v>1112</v>
      </c>
      <c r="B810">
        <v>45357</v>
      </c>
      <c r="C810" t="s">
        <v>277</v>
      </c>
      <c r="D810" t="s">
        <v>24</v>
      </c>
      <c r="E810" t="s">
        <v>15</v>
      </c>
      <c r="F810" t="s">
        <v>16</v>
      </c>
      <c r="G810">
        <v>1</v>
      </c>
      <c r="H810" s="2">
        <v>73</v>
      </c>
      <c r="I810" s="2">
        <v>73</v>
      </c>
      <c r="J810" s="2">
        <v>36.880000000000003</v>
      </c>
      <c r="K810" s="2">
        <v>36.119999999999997</v>
      </c>
      <c r="L810" t="s">
        <v>17</v>
      </c>
    </row>
    <row r="811" spans="1:12" x14ac:dyDescent="0.35">
      <c r="A811" t="s">
        <v>1113</v>
      </c>
      <c r="B811">
        <v>45518</v>
      </c>
      <c r="C811" t="s">
        <v>60</v>
      </c>
      <c r="D811" t="s">
        <v>14</v>
      </c>
      <c r="E811" t="s">
        <v>33</v>
      </c>
      <c r="F811" t="s">
        <v>55</v>
      </c>
      <c r="G811">
        <v>1</v>
      </c>
      <c r="H811" s="2">
        <v>55</v>
      </c>
      <c r="I811" s="2">
        <v>55</v>
      </c>
      <c r="J811" s="2">
        <v>38.43</v>
      </c>
      <c r="K811" s="2">
        <v>16.57</v>
      </c>
      <c r="L811" t="s">
        <v>35</v>
      </c>
    </row>
    <row r="812" spans="1:12" x14ac:dyDescent="0.35">
      <c r="A812" t="s">
        <v>1114</v>
      </c>
      <c r="B812">
        <v>45642</v>
      </c>
      <c r="C812" t="s">
        <v>187</v>
      </c>
      <c r="D812" t="s">
        <v>24</v>
      </c>
      <c r="E812" t="s">
        <v>33</v>
      </c>
      <c r="F812" t="s">
        <v>55</v>
      </c>
      <c r="G812">
        <v>4</v>
      </c>
      <c r="H812" s="2">
        <v>48</v>
      </c>
      <c r="I812" s="2">
        <v>192</v>
      </c>
      <c r="J812" s="2">
        <v>137.59</v>
      </c>
      <c r="K812" s="2">
        <v>54.41</v>
      </c>
      <c r="L812" t="s">
        <v>35</v>
      </c>
    </row>
    <row r="813" spans="1:12" x14ac:dyDescent="0.35">
      <c r="A813" t="s">
        <v>1115</v>
      </c>
      <c r="B813">
        <v>45648</v>
      </c>
      <c r="C813" t="s">
        <v>99</v>
      </c>
      <c r="D813" t="s">
        <v>42</v>
      </c>
      <c r="E813" t="s">
        <v>29</v>
      </c>
      <c r="F813" t="s">
        <v>43</v>
      </c>
      <c r="G813">
        <v>4</v>
      </c>
      <c r="H813" s="2">
        <v>93</v>
      </c>
      <c r="I813" s="2">
        <v>372</v>
      </c>
      <c r="J813" s="2">
        <v>247.11</v>
      </c>
      <c r="K813" s="2">
        <v>124.89</v>
      </c>
      <c r="L813" t="s">
        <v>17</v>
      </c>
    </row>
    <row r="814" spans="1:12" x14ac:dyDescent="0.35">
      <c r="A814" t="s">
        <v>1116</v>
      </c>
      <c r="B814">
        <v>45573</v>
      </c>
      <c r="C814" t="s">
        <v>369</v>
      </c>
      <c r="D814" t="s">
        <v>42</v>
      </c>
      <c r="E814" t="s">
        <v>29</v>
      </c>
      <c r="F814" t="s">
        <v>30</v>
      </c>
      <c r="G814">
        <v>3</v>
      </c>
      <c r="H814" s="2">
        <v>30</v>
      </c>
      <c r="I814" s="2">
        <v>90</v>
      </c>
      <c r="J814" s="2">
        <v>66.86</v>
      </c>
      <c r="K814" s="2">
        <v>23.14</v>
      </c>
      <c r="L814" t="s">
        <v>44</v>
      </c>
    </row>
    <row r="815" spans="1:12" x14ac:dyDescent="0.35">
      <c r="A815" t="s">
        <v>1117</v>
      </c>
      <c r="B815">
        <v>45563</v>
      </c>
      <c r="C815" t="s">
        <v>288</v>
      </c>
      <c r="D815" t="s">
        <v>28</v>
      </c>
      <c r="E815" t="s">
        <v>33</v>
      </c>
      <c r="F815" t="s">
        <v>55</v>
      </c>
      <c r="G815">
        <v>3</v>
      </c>
      <c r="H815" s="2">
        <v>46</v>
      </c>
      <c r="I815" s="2">
        <v>138</v>
      </c>
      <c r="J815" s="2">
        <v>85.31</v>
      </c>
      <c r="K815" s="2">
        <v>52.69</v>
      </c>
      <c r="L815" t="s">
        <v>35</v>
      </c>
    </row>
    <row r="816" spans="1:12" x14ac:dyDescent="0.35">
      <c r="A816" t="s">
        <v>1118</v>
      </c>
      <c r="B816">
        <v>45655</v>
      </c>
      <c r="C816" t="s">
        <v>481</v>
      </c>
      <c r="D816" t="s">
        <v>28</v>
      </c>
      <c r="E816" t="s">
        <v>29</v>
      </c>
      <c r="F816" t="s">
        <v>43</v>
      </c>
      <c r="G816">
        <v>1</v>
      </c>
      <c r="H816" s="2">
        <v>24</v>
      </c>
      <c r="I816" s="2">
        <v>24</v>
      </c>
      <c r="J816" s="2">
        <v>12.4</v>
      </c>
      <c r="K816" s="2">
        <v>11.6</v>
      </c>
      <c r="L816" t="s">
        <v>17</v>
      </c>
    </row>
    <row r="817" spans="1:12" x14ac:dyDescent="0.35">
      <c r="A817" t="s">
        <v>1119</v>
      </c>
      <c r="B817">
        <v>45434</v>
      </c>
      <c r="C817" t="s">
        <v>1120</v>
      </c>
      <c r="D817" t="s">
        <v>42</v>
      </c>
      <c r="E817" t="s">
        <v>15</v>
      </c>
      <c r="F817" t="s">
        <v>25</v>
      </c>
      <c r="G817">
        <v>2</v>
      </c>
      <c r="H817" s="2">
        <v>27</v>
      </c>
      <c r="I817" s="2">
        <v>54</v>
      </c>
      <c r="J817" s="2">
        <v>27.61</v>
      </c>
      <c r="K817" s="2">
        <v>26.39</v>
      </c>
      <c r="L817" t="s">
        <v>35</v>
      </c>
    </row>
    <row r="818" spans="1:12" x14ac:dyDescent="0.35">
      <c r="A818" t="s">
        <v>1121</v>
      </c>
      <c r="B818">
        <v>45571</v>
      </c>
      <c r="C818" t="s">
        <v>502</v>
      </c>
      <c r="D818" t="s">
        <v>42</v>
      </c>
      <c r="E818" t="s">
        <v>38</v>
      </c>
      <c r="F818" t="s">
        <v>52</v>
      </c>
      <c r="G818">
        <v>5</v>
      </c>
      <c r="H818" s="2">
        <v>33</v>
      </c>
      <c r="I818" s="2">
        <v>165</v>
      </c>
      <c r="J818" s="2">
        <v>116.66</v>
      </c>
      <c r="K818" s="2">
        <v>48.34</v>
      </c>
      <c r="L818" t="s">
        <v>35</v>
      </c>
    </row>
    <row r="819" spans="1:12" x14ac:dyDescent="0.35">
      <c r="A819" t="s">
        <v>1122</v>
      </c>
      <c r="B819">
        <v>45348</v>
      </c>
      <c r="C819" t="s">
        <v>105</v>
      </c>
      <c r="D819" t="s">
        <v>42</v>
      </c>
      <c r="E819" t="s">
        <v>29</v>
      </c>
      <c r="F819" t="s">
        <v>47</v>
      </c>
      <c r="G819">
        <v>3</v>
      </c>
      <c r="H819" s="2">
        <v>23</v>
      </c>
      <c r="I819" s="2">
        <v>69</v>
      </c>
      <c r="J819" s="2">
        <v>42.28</v>
      </c>
      <c r="K819" s="2">
        <v>26.72</v>
      </c>
      <c r="L819" t="s">
        <v>17</v>
      </c>
    </row>
    <row r="820" spans="1:12" x14ac:dyDescent="0.35">
      <c r="A820" t="s">
        <v>1123</v>
      </c>
      <c r="B820">
        <v>45377</v>
      </c>
      <c r="C820" t="s">
        <v>296</v>
      </c>
      <c r="D820" t="s">
        <v>42</v>
      </c>
      <c r="E820" t="s">
        <v>29</v>
      </c>
      <c r="F820" t="s">
        <v>47</v>
      </c>
      <c r="G820">
        <v>2</v>
      </c>
      <c r="H820" s="2">
        <v>43</v>
      </c>
      <c r="I820" s="2">
        <v>86</v>
      </c>
      <c r="J820" s="2">
        <v>67.11</v>
      </c>
      <c r="K820" s="2">
        <v>18.89</v>
      </c>
      <c r="L820" t="s">
        <v>35</v>
      </c>
    </row>
    <row r="821" spans="1:12" x14ac:dyDescent="0.35">
      <c r="A821" t="s">
        <v>1124</v>
      </c>
      <c r="B821">
        <v>45480</v>
      </c>
      <c r="C821" t="s">
        <v>284</v>
      </c>
      <c r="D821" t="s">
        <v>24</v>
      </c>
      <c r="E821" t="s">
        <v>33</v>
      </c>
      <c r="F821" t="s">
        <v>34</v>
      </c>
      <c r="G821">
        <v>2</v>
      </c>
      <c r="H821" s="2">
        <v>12</v>
      </c>
      <c r="I821" s="2">
        <v>24</v>
      </c>
      <c r="J821" s="2">
        <v>14.26</v>
      </c>
      <c r="K821" s="2">
        <v>9.74</v>
      </c>
      <c r="L821" t="s">
        <v>35</v>
      </c>
    </row>
    <row r="822" spans="1:12" x14ac:dyDescent="0.35">
      <c r="A822" t="s">
        <v>1125</v>
      </c>
      <c r="B822">
        <v>45511</v>
      </c>
      <c r="C822" t="s">
        <v>284</v>
      </c>
      <c r="D822" t="s">
        <v>24</v>
      </c>
      <c r="E822" t="s">
        <v>29</v>
      </c>
      <c r="F822" t="s">
        <v>43</v>
      </c>
      <c r="G822">
        <v>3</v>
      </c>
      <c r="H822" s="2">
        <v>21</v>
      </c>
      <c r="I822" s="2">
        <v>63</v>
      </c>
      <c r="J822" s="2">
        <v>42.97</v>
      </c>
      <c r="K822" s="2">
        <v>20.03</v>
      </c>
      <c r="L822" t="s">
        <v>17</v>
      </c>
    </row>
    <row r="823" spans="1:12" x14ac:dyDescent="0.35">
      <c r="A823" t="s">
        <v>1126</v>
      </c>
      <c r="B823">
        <v>45513</v>
      </c>
      <c r="C823" t="s">
        <v>559</v>
      </c>
      <c r="D823" t="s">
        <v>28</v>
      </c>
      <c r="E823" t="s">
        <v>33</v>
      </c>
      <c r="F823" t="s">
        <v>55</v>
      </c>
      <c r="G823">
        <v>1</v>
      </c>
      <c r="H823" s="2">
        <v>75</v>
      </c>
      <c r="I823" s="2">
        <v>75</v>
      </c>
      <c r="J823" s="2">
        <v>59.62</v>
      </c>
      <c r="K823" s="2">
        <v>15.38</v>
      </c>
      <c r="L823" t="s">
        <v>21</v>
      </c>
    </row>
    <row r="824" spans="1:12" x14ac:dyDescent="0.35">
      <c r="A824" t="s">
        <v>1127</v>
      </c>
      <c r="B824">
        <v>45364</v>
      </c>
      <c r="C824" t="s">
        <v>466</v>
      </c>
      <c r="D824" t="s">
        <v>14</v>
      </c>
      <c r="E824" t="s">
        <v>15</v>
      </c>
      <c r="F824" t="s">
        <v>16</v>
      </c>
      <c r="G824">
        <v>1</v>
      </c>
      <c r="H824" s="2">
        <v>36</v>
      </c>
      <c r="I824" s="2">
        <v>36</v>
      </c>
      <c r="J824" s="2">
        <v>22.64</v>
      </c>
      <c r="K824" s="2">
        <v>13.36</v>
      </c>
      <c r="L824" t="s">
        <v>17</v>
      </c>
    </row>
    <row r="825" spans="1:12" x14ac:dyDescent="0.35">
      <c r="A825" t="s">
        <v>1128</v>
      </c>
      <c r="B825">
        <v>45627</v>
      </c>
      <c r="C825" t="s">
        <v>1129</v>
      </c>
      <c r="D825" t="s">
        <v>28</v>
      </c>
      <c r="E825" t="s">
        <v>33</v>
      </c>
      <c r="F825" t="s">
        <v>55</v>
      </c>
      <c r="G825">
        <v>2</v>
      </c>
      <c r="H825" s="2">
        <v>74</v>
      </c>
      <c r="I825" s="2">
        <v>148</v>
      </c>
      <c r="J825" s="2">
        <v>110.39</v>
      </c>
      <c r="K825" s="2">
        <v>37.61</v>
      </c>
      <c r="L825" t="s">
        <v>44</v>
      </c>
    </row>
    <row r="826" spans="1:12" x14ac:dyDescent="0.35">
      <c r="A826" t="s">
        <v>1130</v>
      </c>
      <c r="B826">
        <v>45460</v>
      </c>
      <c r="C826" t="s">
        <v>633</v>
      </c>
      <c r="D826" t="s">
        <v>24</v>
      </c>
      <c r="E826" t="s">
        <v>38</v>
      </c>
      <c r="F826" t="s">
        <v>52</v>
      </c>
      <c r="G826">
        <v>5</v>
      </c>
      <c r="H826" s="2">
        <v>33</v>
      </c>
      <c r="I826" s="2">
        <v>165</v>
      </c>
      <c r="J826" s="2">
        <v>86.3</v>
      </c>
      <c r="K826" s="2">
        <v>78.7</v>
      </c>
      <c r="L826" t="s">
        <v>35</v>
      </c>
    </row>
    <row r="827" spans="1:12" x14ac:dyDescent="0.35">
      <c r="A827" t="s">
        <v>1131</v>
      </c>
      <c r="B827">
        <v>45607</v>
      </c>
      <c r="C827" t="s">
        <v>781</v>
      </c>
      <c r="D827" t="s">
        <v>24</v>
      </c>
      <c r="E827" t="s">
        <v>38</v>
      </c>
      <c r="F827" t="s">
        <v>58</v>
      </c>
      <c r="G827">
        <v>1</v>
      </c>
      <c r="H827" s="2">
        <v>39</v>
      </c>
      <c r="I827" s="2">
        <v>39</v>
      </c>
      <c r="J827" s="2">
        <v>19.7</v>
      </c>
      <c r="K827" s="2">
        <v>19.3</v>
      </c>
      <c r="L827" t="s">
        <v>35</v>
      </c>
    </row>
    <row r="828" spans="1:12" x14ac:dyDescent="0.35">
      <c r="A828" t="s">
        <v>1132</v>
      </c>
      <c r="B828">
        <v>45633</v>
      </c>
      <c r="C828" t="s">
        <v>418</v>
      </c>
      <c r="D828" t="s">
        <v>24</v>
      </c>
      <c r="E828" t="s">
        <v>29</v>
      </c>
      <c r="F828" t="s">
        <v>47</v>
      </c>
      <c r="G828">
        <v>3</v>
      </c>
      <c r="H828" s="2">
        <v>93</v>
      </c>
      <c r="I828" s="2">
        <v>279</v>
      </c>
      <c r="J828" s="2">
        <v>194.86</v>
      </c>
      <c r="K828" s="2">
        <v>84.14</v>
      </c>
      <c r="L828" t="s">
        <v>35</v>
      </c>
    </row>
    <row r="829" spans="1:12" x14ac:dyDescent="0.35">
      <c r="A829" t="s">
        <v>1133</v>
      </c>
      <c r="B829">
        <v>45614</v>
      </c>
      <c r="C829" t="s">
        <v>144</v>
      </c>
      <c r="D829" t="s">
        <v>28</v>
      </c>
      <c r="E829" t="s">
        <v>29</v>
      </c>
      <c r="F829" t="s">
        <v>75</v>
      </c>
      <c r="G829">
        <v>2</v>
      </c>
      <c r="H829" s="2">
        <v>91</v>
      </c>
      <c r="I829" s="2">
        <v>182</v>
      </c>
      <c r="J829" s="2">
        <v>128.46</v>
      </c>
      <c r="K829" s="2">
        <v>53.54</v>
      </c>
      <c r="L829" t="s">
        <v>21</v>
      </c>
    </row>
    <row r="830" spans="1:12" x14ac:dyDescent="0.35">
      <c r="A830" t="s">
        <v>1134</v>
      </c>
      <c r="B830">
        <v>45375</v>
      </c>
      <c r="C830" t="s">
        <v>214</v>
      </c>
      <c r="D830" t="s">
        <v>42</v>
      </c>
      <c r="E830" t="s">
        <v>29</v>
      </c>
      <c r="F830" t="s">
        <v>30</v>
      </c>
      <c r="G830">
        <v>2</v>
      </c>
      <c r="H830" s="2">
        <v>40</v>
      </c>
      <c r="I830" s="2">
        <v>80</v>
      </c>
      <c r="J830" s="2">
        <v>55</v>
      </c>
      <c r="K830" s="2">
        <v>25</v>
      </c>
      <c r="L830" t="s">
        <v>17</v>
      </c>
    </row>
    <row r="831" spans="1:12" x14ac:dyDescent="0.35">
      <c r="A831" t="s">
        <v>1135</v>
      </c>
      <c r="B831">
        <v>45360</v>
      </c>
      <c r="C831" t="s">
        <v>424</v>
      </c>
      <c r="D831" t="s">
        <v>14</v>
      </c>
      <c r="E831" t="s">
        <v>29</v>
      </c>
      <c r="F831" t="s">
        <v>30</v>
      </c>
      <c r="G831">
        <v>5</v>
      </c>
      <c r="H831" s="2">
        <v>86</v>
      </c>
      <c r="I831" s="2">
        <v>430</v>
      </c>
      <c r="J831" s="2">
        <v>240.67</v>
      </c>
      <c r="K831" s="2">
        <v>189.33</v>
      </c>
      <c r="L831" t="s">
        <v>17</v>
      </c>
    </row>
    <row r="832" spans="1:12" x14ac:dyDescent="0.35">
      <c r="A832" t="s">
        <v>1136</v>
      </c>
      <c r="B832">
        <v>45426</v>
      </c>
      <c r="C832" t="s">
        <v>144</v>
      </c>
      <c r="D832" t="s">
        <v>24</v>
      </c>
      <c r="E832" t="s">
        <v>15</v>
      </c>
      <c r="F832" t="s">
        <v>20</v>
      </c>
      <c r="G832">
        <v>3</v>
      </c>
      <c r="H832" s="2">
        <v>42</v>
      </c>
      <c r="I832" s="2">
        <v>126</v>
      </c>
      <c r="J832" s="2">
        <v>91.36</v>
      </c>
      <c r="K832" s="2">
        <v>34.64</v>
      </c>
      <c r="L832" t="s">
        <v>17</v>
      </c>
    </row>
    <row r="833" spans="1:12" x14ac:dyDescent="0.35">
      <c r="A833" t="s">
        <v>1137</v>
      </c>
      <c r="B833">
        <v>45526</v>
      </c>
      <c r="C833" t="s">
        <v>70</v>
      </c>
      <c r="D833" t="s">
        <v>28</v>
      </c>
      <c r="E833" t="s">
        <v>38</v>
      </c>
      <c r="F833" t="s">
        <v>39</v>
      </c>
      <c r="G833">
        <v>1</v>
      </c>
      <c r="H833" s="2">
        <v>61</v>
      </c>
      <c r="I833" s="2">
        <v>61</v>
      </c>
      <c r="J833" s="2">
        <v>38.68</v>
      </c>
      <c r="K833" s="2">
        <v>22.32</v>
      </c>
      <c r="L833" t="s">
        <v>21</v>
      </c>
    </row>
    <row r="834" spans="1:12" x14ac:dyDescent="0.35">
      <c r="A834" t="s">
        <v>1138</v>
      </c>
      <c r="B834">
        <v>45549</v>
      </c>
      <c r="C834" t="s">
        <v>505</v>
      </c>
      <c r="D834" t="s">
        <v>28</v>
      </c>
      <c r="E834" t="s">
        <v>15</v>
      </c>
      <c r="F834" t="s">
        <v>16</v>
      </c>
      <c r="G834">
        <v>5</v>
      </c>
      <c r="H834" s="2">
        <v>15</v>
      </c>
      <c r="I834" s="2">
        <v>75</v>
      </c>
      <c r="J834" s="2">
        <v>57.4</v>
      </c>
      <c r="K834" s="2">
        <v>17.600000000000001</v>
      </c>
      <c r="L834" t="s">
        <v>35</v>
      </c>
    </row>
    <row r="835" spans="1:12" x14ac:dyDescent="0.35">
      <c r="A835" t="s">
        <v>1139</v>
      </c>
      <c r="B835">
        <v>45613</v>
      </c>
      <c r="C835" t="s">
        <v>483</v>
      </c>
      <c r="D835" t="s">
        <v>24</v>
      </c>
      <c r="E835" t="s">
        <v>38</v>
      </c>
      <c r="F835" t="s">
        <v>39</v>
      </c>
      <c r="G835">
        <v>1</v>
      </c>
      <c r="H835" s="2">
        <v>56</v>
      </c>
      <c r="I835" s="2">
        <v>56</v>
      </c>
      <c r="J835" s="2">
        <v>35.340000000000003</v>
      </c>
      <c r="K835" s="2">
        <v>20.66</v>
      </c>
      <c r="L835" t="s">
        <v>17</v>
      </c>
    </row>
    <row r="836" spans="1:12" x14ac:dyDescent="0.35">
      <c r="A836" t="s">
        <v>1140</v>
      </c>
      <c r="B836">
        <v>45440</v>
      </c>
      <c r="C836" t="s">
        <v>618</v>
      </c>
      <c r="D836" t="s">
        <v>14</v>
      </c>
      <c r="E836" t="s">
        <v>29</v>
      </c>
      <c r="F836" t="s">
        <v>75</v>
      </c>
      <c r="G836">
        <v>5</v>
      </c>
      <c r="H836" s="2">
        <v>87</v>
      </c>
      <c r="I836" s="2">
        <v>435</v>
      </c>
      <c r="J836" s="2">
        <v>261.60000000000002</v>
      </c>
      <c r="K836" s="2">
        <v>173.4</v>
      </c>
      <c r="L836" t="s">
        <v>21</v>
      </c>
    </row>
    <row r="837" spans="1:12" x14ac:dyDescent="0.35">
      <c r="A837" t="s">
        <v>1141</v>
      </c>
      <c r="B837">
        <v>45328</v>
      </c>
      <c r="C837" t="s">
        <v>879</v>
      </c>
      <c r="D837" t="s">
        <v>28</v>
      </c>
      <c r="E837" t="s">
        <v>38</v>
      </c>
      <c r="F837" t="s">
        <v>39</v>
      </c>
      <c r="G837">
        <v>5</v>
      </c>
      <c r="H837" s="2">
        <v>14</v>
      </c>
      <c r="I837" s="2">
        <v>70</v>
      </c>
      <c r="J837" s="2">
        <v>49.85</v>
      </c>
      <c r="K837" s="2">
        <v>20.149999999999999</v>
      </c>
      <c r="L837" t="s">
        <v>17</v>
      </c>
    </row>
    <row r="838" spans="1:12" x14ac:dyDescent="0.35">
      <c r="A838" t="s">
        <v>1142</v>
      </c>
      <c r="B838">
        <v>45508</v>
      </c>
      <c r="C838" t="s">
        <v>1143</v>
      </c>
      <c r="D838" t="s">
        <v>28</v>
      </c>
      <c r="E838" t="s">
        <v>33</v>
      </c>
      <c r="F838" t="s">
        <v>92</v>
      </c>
      <c r="G838">
        <v>1</v>
      </c>
      <c r="H838" s="2">
        <v>78</v>
      </c>
      <c r="I838" s="2">
        <v>78</v>
      </c>
      <c r="J838" s="2">
        <v>53.55</v>
      </c>
      <c r="K838" s="2">
        <v>24.45</v>
      </c>
      <c r="L838" t="s">
        <v>21</v>
      </c>
    </row>
    <row r="839" spans="1:12" x14ac:dyDescent="0.35">
      <c r="A839" t="s">
        <v>1144</v>
      </c>
      <c r="B839">
        <v>45612</v>
      </c>
      <c r="C839" t="s">
        <v>778</v>
      </c>
      <c r="D839" t="s">
        <v>24</v>
      </c>
      <c r="E839" t="s">
        <v>15</v>
      </c>
      <c r="F839" t="s">
        <v>16</v>
      </c>
      <c r="G839">
        <v>4</v>
      </c>
      <c r="H839" s="2">
        <v>35</v>
      </c>
      <c r="I839" s="2">
        <v>140</v>
      </c>
      <c r="J839" s="2">
        <v>75.38</v>
      </c>
      <c r="K839" s="2">
        <v>64.62</v>
      </c>
      <c r="L839" t="s">
        <v>44</v>
      </c>
    </row>
    <row r="840" spans="1:12" x14ac:dyDescent="0.35">
      <c r="A840" t="s">
        <v>1145</v>
      </c>
      <c r="B840">
        <v>45334</v>
      </c>
      <c r="C840" t="s">
        <v>159</v>
      </c>
      <c r="D840" t="s">
        <v>28</v>
      </c>
      <c r="E840" t="s">
        <v>38</v>
      </c>
      <c r="F840" t="s">
        <v>58</v>
      </c>
      <c r="G840">
        <v>2</v>
      </c>
      <c r="H840" s="2">
        <v>99</v>
      </c>
      <c r="I840" s="2">
        <v>198</v>
      </c>
      <c r="J840" s="2">
        <v>128.19</v>
      </c>
      <c r="K840" s="2">
        <v>69.81</v>
      </c>
      <c r="L840" t="s">
        <v>35</v>
      </c>
    </row>
    <row r="841" spans="1:12" x14ac:dyDescent="0.35">
      <c r="A841" t="s">
        <v>1146</v>
      </c>
      <c r="B841">
        <v>45615</v>
      </c>
      <c r="C841" t="s">
        <v>282</v>
      </c>
      <c r="D841" t="s">
        <v>14</v>
      </c>
      <c r="E841" t="s">
        <v>15</v>
      </c>
      <c r="F841" t="s">
        <v>16</v>
      </c>
      <c r="G841">
        <v>2</v>
      </c>
      <c r="H841" s="2">
        <v>29</v>
      </c>
      <c r="I841" s="2">
        <v>58</v>
      </c>
      <c r="J841" s="2">
        <v>43.27</v>
      </c>
      <c r="K841" s="2">
        <v>14.73</v>
      </c>
      <c r="L841" t="s">
        <v>44</v>
      </c>
    </row>
    <row r="842" spans="1:12" x14ac:dyDescent="0.35">
      <c r="A842" t="s">
        <v>1147</v>
      </c>
      <c r="B842">
        <v>45317</v>
      </c>
      <c r="C842" t="s">
        <v>638</v>
      </c>
      <c r="D842" t="s">
        <v>14</v>
      </c>
      <c r="E842" t="s">
        <v>15</v>
      </c>
      <c r="F842" t="s">
        <v>20</v>
      </c>
      <c r="G842">
        <v>2</v>
      </c>
      <c r="H842" s="2">
        <v>57</v>
      </c>
      <c r="I842" s="2">
        <v>114</v>
      </c>
      <c r="J842" s="2">
        <v>76.73</v>
      </c>
      <c r="K842" s="2">
        <v>37.270000000000003</v>
      </c>
      <c r="L842" t="s">
        <v>17</v>
      </c>
    </row>
    <row r="843" spans="1:12" x14ac:dyDescent="0.35">
      <c r="A843" t="s">
        <v>1148</v>
      </c>
      <c r="B843">
        <v>45454</v>
      </c>
      <c r="C843" t="s">
        <v>308</v>
      </c>
      <c r="D843" t="s">
        <v>24</v>
      </c>
      <c r="E843" t="s">
        <v>38</v>
      </c>
      <c r="F843" t="s">
        <v>58</v>
      </c>
      <c r="G843">
        <v>5</v>
      </c>
      <c r="H843" s="2">
        <v>69</v>
      </c>
      <c r="I843" s="2">
        <v>345</v>
      </c>
      <c r="J843" s="2">
        <v>214.79</v>
      </c>
      <c r="K843" s="2">
        <v>130.21</v>
      </c>
      <c r="L843" t="s">
        <v>44</v>
      </c>
    </row>
    <row r="844" spans="1:12" x14ac:dyDescent="0.35">
      <c r="A844" t="s">
        <v>1149</v>
      </c>
      <c r="B844">
        <v>45511</v>
      </c>
      <c r="C844" t="s">
        <v>671</v>
      </c>
      <c r="D844" t="s">
        <v>24</v>
      </c>
      <c r="E844" t="s">
        <v>38</v>
      </c>
      <c r="F844" t="s">
        <v>39</v>
      </c>
      <c r="G844">
        <v>2</v>
      </c>
      <c r="H844" s="2">
        <v>97</v>
      </c>
      <c r="I844" s="2">
        <v>194</v>
      </c>
      <c r="J844" s="2">
        <v>139.06</v>
      </c>
      <c r="K844" s="2">
        <v>54.94</v>
      </c>
      <c r="L844" t="s">
        <v>21</v>
      </c>
    </row>
    <row r="845" spans="1:12" x14ac:dyDescent="0.35">
      <c r="A845" t="s">
        <v>1150</v>
      </c>
      <c r="B845">
        <v>45459</v>
      </c>
      <c r="C845" t="s">
        <v>861</v>
      </c>
      <c r="D845" t="s">
        <v>42</v>
      </c>
      <c r="E845" t="s">
        <v>29</v>
      </c>
      <c r="F845" t="s">
        <v>43</v>
      </c>
      <c r="G845">
        <v>1</v>
      </c>
      <c r="H845" s="2">
        <v>71</v>
      </c>
      <c r="I845" s="2">
        <v>71</v>
      </c>
      <c r="J845" s="2">
        <v>53.11</v>
      </c>
      <c r="K845" s="2">
        <v>17.89</v>
      </c>
      <c r="L845" t="s">
        <v>44</v>
      </c>
    </row>
    <row r="846" spans="1:12" x14ac:dyDescent="0.35">
      <c r="A846" t="s">
        <v>1151</v>
      </c>
      <c r="B846">
        <v>45315</v>
      </c>
      <c r="C846" t="s">
        <v>861</v>
      </c>
      <c r="D846" t="s">
        <v>28</v>
      </c>
      <c r="E846" t="s">
        <v>15</v>
      </c>
      <c r="F846" t="s">
        <v>16</v>
      </c>
      <c r="G846">
        <v>5</v>
      </c>
      <c r="H846" s="2">
        <v>14</v>
      </c>
      <c r="I846" s="2">
        <v>70</v>
      </c>
      <c r="J846" s="2">
        <v>47.7</v>
      </c>
      <c r="K846" s="2">
        <v>22.3</v>
      </c>
      <c r="L846" t="s">
        <v>44</v>
      </c>
    </row>
    <row r="847" spans="1:12" x14ac:dyDescent="0.35">
      <c r="A847" t="s">
        <v>1152</v>
      </c>
      <c r="B847">
        <v>45338</v>
      </c>
      <c r="C847" t="s">
        <v>320</v>
      </c>
      <c r="D847" t="s">
        <v>14</v>
      </c>
      <c r="E847" t="s">
        <v>33</v>
      </c>
      <c r="F847" t="s">
        <v>34</v>
      </c>
      <c r="G847">
        <v>4</v>
      </c>
      <c r="H847" s="2">
        <v>93</v>
      </c>
      <c r="I847" s="2">
        <v>372</v>
      </c>
      <c r="J847" s="2">
        <v>188.39</v>
      </c>
      <c r="K847" s="2">
        <v>183.61</v>
      </c>
      <c r="L847" t="s">
        <v>44</v>
      </c>
    </row>
    <row r="848" spans="1:12" x14ac:dyDescent="0.35">
      <c r="A848" t="s">
        <v>1153</v>
      </c>
      <c r="B848">
        <v>45316</v>
      </c>
      <c r="C848" t="s">
        <v>489</v>
      </c>
      <c r="D848" t="s">
        <v>24</v>
      </c>
      <c r="E848" t="s">
        <v>38</v>
      </c>
      <c r="F848" t="s">
        <v>39</v>
      </c>
      <c r="G848">
        <v>3</v>
      </c>
      <c r="H848" s="2">
        <v>42</v>
      </c>
      <c r="I848" s="2">
        <v>126</v>
      </c>
      <c r="J848" s="2">
        <v>68.61</v>
      </c>
      <c r="K848" s="2">
        <v>57.39</v>
      </c>
      <c r="L848" t="s">
        <v>21</v>
      </c>
    </row>
    <row r="849" spans="1:12" x14ac:dyDescent="0.35">
      <c r="A849" t="s">
        <v>1154</v>
      </c>
      <c r="B849">
        <v>45628</v>
      </c>
      <c r="C849" t="s">
        <v>196</v>
      </c>
      <c r="D849" t="s">
        <v>14</v>
      </c>
      <c r="E849" t="s">
        <v>29</v>
      </c>
      <c r="F849" t="s">
        <v>43</v>
      </c>
      <c r="G849">
        <v>5</v>
      </c>
      <c r="H849" s="2">
        <v>65</v>
      </c>
      <c r="I849" s="2">
        <v>325</v>
      </c>
      <c r="J849" s="2">
        <v>245.27</v>
      </c>
      <c r="K849" s="2">
        <v>79.73</v>
      </c>
      <c r="L849" t="s">
        <v>35</v>
      </c>
    </row>
    <row r="850" spans="1:12" x14ac:dyDescent="0.35">
      <c r="A850" t="s">
        <v>1155</v>
      </c>
      <c r="B850">
        <v>45551</v>
      </c>
      <c r="C850" t="s">
        <v>584</v>
      </c>
      <c r="D850" t="s">
        <v>14</v>
      </c>
      <c r="E850" t="s">
        <v>15</v>
      </c>
      <c r="F850" t="s">
        <v>16</v>
      </c>
      <c r="G850">
        <v>3</v>
      </c>
      <c r="H850" s="2">
        <v>50</v>
      </c>
      <c r="I850" s="2">
        <v>150</v>
      </c>
      <c r="J850" s="2">
        <v>103.56</v>
      </c>
      <c r="K850" s="2">
        <v>46.44</v>
      </c>
      <c r="L850" t="s">
        <v>44</v>
      </c>
    </row>
    <row r="851" spans="1:12" x14ac:dyDescent="0.35">
      <c r="A851" t="s">
        <v>1156</v>
      </c>
      <c r="B851">
        <v>45403</v>
      </c>
      <c r="C851" t="s">
        <v>243</v>
      </c>
      <c r="D851" t="s">
        <v>24</v>
      </c>
      <c r="E851" t="s">
        <v>33</v>
      </c>
      <c r="F851" t="s">
        <v>92</v>
      </c>
      <c r="G851">
        <v>1</v>
      </c>
      <c r="H851" s="2">
        <v>81</v>
      </c>
      <c r="I851" s="2">
        <v>81</v>
      </c>
      <c r="J851" s="2">
        <v>46.81</v>
      </c>
      <c r="K851" s="2">
        <v>34.19</v>
      </c>
      <c r="L851" t="s">
        <v>17</v>
      </c>
    </row>
    <row r="852" spans="1:12" x14ac:dyDescent="0.35">
      <c r="A852" t="s">
        <v>1157</v>
      </c>
      <c r="B852">
        <v>45537</v>
      </c>
      <c r="C852" t="s">
        <v>284</v>
      </c>
      <c r="D852" t="s">
        <v>28</v>
      </c>
      <c r="E852" t="s">
        <v>15</v>
      </c>
      <c r="F852" t="s">
        <v>16</v>
      </c>
      <c r="G852">
        <v>5</v>
      </c>
      <c r="H852" s="2">
        <v>73</v>
      </c>
      <c r="I852" s="2">
        <v>365</v>
      </c>
      <c r="J852" s="2">
        <v>265.33999999999997</v>
      </c>
      <c r="K852" s="2">
        <v>99.66</v>
      </c>
      <c r="L852" t="s">
        <v>21</v>
      </c>
    </row>
    <row r="853" spans="1:12" x14ac:dyDescent="0.35">
      <c r="A853" t="s">
        <v>1158</v>
      </c>
      <c r="B853">
        <v>45515</v>
      </c>
      <c r="C853" t="s">
        <v>262</v>
      </c>
      <c r="D853" t="s">
        <v>14</v>
      </c>
      <c r="E853" t="s">
        <v>29</v>
      </c>
      <c r="F853" t="s">
        <v>47</v>
      </c>
      <c r="G853">
        <v>3</v>
      </c>
      <c r="H853" s="2">
        <v>12</v>
      </c>
      <c r="I853" s="2">
        <v>36</v>
      </c>
      <c r="J853" s="2">
        <v>28.17</v>
      </c>
      <c r="K853" s="2">
        <v>7.83</v>
      </c>
      <c r="L853" t="s">
        <v>21</v>
      </c>
    </row>
    <row r="854" spans="1:12" x14ac:dyDescent="0.35">
      <c r="A854" t="s">
        <v>1159</v>
      </c>
      <c r="B854">
        <v>45351</v>
      </c>
      <c r="C854" t="s">
        <v>352</v>
      </c>
      <c r="D854" t="s">
        <v>14</v>
      </c>
      <c r="E854" t="s">
        <v>33</v>
      </c>
      <c r="F854" t="s">
        <v>55</v>
      </c>
      <c r="G854">
        <v>4</v>
      </c>
      <c r="H854" s="2">
        <v>64</v>
      </c>
      <c r="I854" s="2">
        <v>256</v>
      </c>
      <c r="J854" s="2">
        <v>164.03</v>
      </c>
      <c r="K854" s="2">
        <v>91.97</v>
      </c>
      <c r="L854" t="s">
        <v>17</v>
      </c>
    </row>
    <row r="855" spans="1:12" x14ac:dyDescent="0.35">
      <c r="A855" t="s">
        <v>1160</v>
      </c>
      <c r="B855">
        <v>45460</v>
      </c>
      <c r="C855" t="s">
        <v>442</v>
      </c>
      <c r="D855" t="s">
        <v>24</v>
      </c>
      <c r="E855" t="s">
        <v>33</v>
      </c>
      <c r="F855" t="s">
        <v>55</v>
      </c>
      <c r="G855">
        <v>3</v>
      </c>
      <c r="H855" s="2">
        <v>38</v>
      </c>
      <c r="I855" s="2">
        <v>114</v>
      </c>
      <c r="J855" s="2">
        <v>68.319999999999993</v>
      </c>
      <c r="K855" s="2">
        <v>45.68</v>
      </c>
      <c r="L855" t="s">
        <v>35</v>
      </c>
    </row>
    <row r="856" spans="1:12" x14ac:dyDescent="0.35">
      <c r="A856" t="s">
        <v>1161</v>
      </c>
      <c r="B856">
        <v>45339</v>
      </c>
      <c r="C856" t="s">
        <v>79</v>
      </c>
      <c r="D856" t="s">
        <v>42</v>
      </c>
      <c r="E856" t="s">
        <v>38</v>
      </c>
      <c r="F856" t="s">
        <v>39</v>
      </c>
      <c r="G856">
        <v>1</v>
      </c>
      <c r="H856" s="2">
        <v>86</v>
      </c>
      <c r="I856" s="2">
        <v>86</v>
      </c>
      <c r="J856" s="2">
        <v>54.03</v>
      </c>
      <c r="K856" s="2">
        <v>31.97</v>
      </c>
      <c r="L856" t="s">
        <v>17</v>
      </c>
    </row>
    <row r="857" spans="1:12" x14ac:dyDescent="0.35">
      <c r="A857" t="s">
        <v>1162</v>
      </c>
      <c r="B857">
        <v>45474</v>
      </c>
      <c r="C857" t="s">
        <v>1163</v>
      </c>
      <c r="D857" t="s">
        <v>28</v>
      </c>
      <c r="E857" t="s">
        <v>38</v>
      </c>
      <c r="F857" t="s">
        <v>39</v>
      </c>
      <c r="G857">
        <v>5</v>
      </c>
      <c r="H857" s="2">
        <v>53</v>
      </c>
      <c r="I857" s="2">
        <v>265</v>
      </c>
      <c r="J857" s="2">
        <v>147.38</v>
      </c>
      <c r="K857" s="2">
        <v>117.62</v>
      </c>
      <c r="L857" t="s">
        <v>44</v>
      </c>
    </row>
    <row r="858" spans="1:12" x14ac:dyDescent="0.35">
      <c r="A858" t="s">
        <v>1164</v>
      </c>
      <c r="B858">
        <v>45654</v>
      </c>
      <c r="C858" t="s">
        <v>107</v>
      </c>
      <c r="D858" t="s">
        <v>42</v>
      </c>
      <c r="E858" t="s">
        <v>29</v>
      </c>
      <c r="F858" t="s">
        <v>43</v>
      </c>
      <c r="G858">
        <v>5</v>
      </c>
      <c r="H858" s="2">
        <v>82</v>
      </c>
      <c r="I858" s="2">
        <v>410</v>
      </c>
      <c r="J858" s="2">
        <v>316.58999999999997</v>
      </c>
      <c r="K858" s="2">
        <v>93.41</v>
      </c>
      <c r="L858" t="s">
        <v>21</v>
      </c>
    </row>
    <row r="859" spans="1:12" x14ac:dyDescent="0.35">
      <c r="A859" t="s">
        <v>1165</v>
      </c>
      <c r="B859">
        <v>45374</v>
      </c>
      <c r="C859" t="s">
        <v>148</v>
      </c>
      <c r="D859" t="s">
        <v>24</v>
      </c>
      <c r="E859" t="s">
        <v>38</v>
      </c>
      <c r="F859" t="s">
        <v>39</v>
      </c>
      <c r="G859">
        <v>2</v>
      </c>
      <c r="H859" s="2">
        <v>92</v>
      </c>
      <c r="I859" s="2">
        <v>184</v>
      </c>
      <c r="J859" s="2">
        <v>114.08</v>
      </c>
      <c r="K859" s="2">
        <v>69.92</v>
      </c>
      <c r="L859" t="s">
        <v>17</v>
      </c>
    </row>
    <row r="860" spans="1:12" x14ac:dyDescent="0.35">
      <c r="A860" t="s">
        <v>1166</v>
      </c>
      <c r="B860">
        <v>45303</v>
      </c>
      <c r="C860" t="s">
        <v>854</v>
      </c>
      <c r="D860" t="s">
        <v>24</v>
      </c>
      <c r="E860" t="s">
        <v>29</v>
      </c>
      <c r="F860" t="s">
        <v>30</v>
      </c>
      <c r="G860">
        <v>1</v>
      </c>
      <c r="H860" s="2">
        <v>65</v>
      </c>
      <c r="I860" s="2">
        <v>65</v>
      </c>
      <c r="J860" s="2">
        <v>43.9</v>
      </c>
      <c r="K860" s="2">
        <v>21.1</v>
      </c>
      <c r="L860" t="s">
        <v>35</v>
      </c>
    </row>
    <row r="861" spans="1:12" x14ac:dyDescent="0.35">
      <c r="A861" t="s">
        <v>1167</v>
      </c>
      <c r="B861">
        <v>45442</v>
      </c>
      <c r="C861" t="s">
        <v>615</v>
      </c>
      <c r="D861" t="s">
        <v>28</v>
      </c>
      <c r="E861" t="s">
        <v>33</v>
      </c>
      <c r="F861" t="s">
        <v>34</v>
      </c>
      <c r="G861">
        <v>2</v>
      </c>
      <c r="H861" s="2">
        <v>75</v>
      </c>
      <c r="I861" s="2">
        <v>150</v>
      </c>
      <c r="J861" s="2">
        <v>75.31</v>
      </c>
      <c r="K861" s="2">
        <v>74.69</v>
      </c>
      <c r="L861" t="s">
        <v>35</v>
      </c>
    </row>
    <row r="862" spans="1:12" x14ac:dyDescent="0.35">
      <c r="A862" t="s">
        <v>1168</v>
      </c>
      <c r="B862">
        <v>45351</v>
      </c>
      <c r="C862" t="s">
        <v>64</v>
      </c>
      <c r="D862" t="s">
        <v>28</v>
      </c>
      <c r="E862" t="s">
        <v>29</v>
      </c>
      <c r="F862" t="s">
        <v>47</v>
      </c>
      <c r="G862">
        <v>4</v>
      </c>
      <c r="H862" s="2">
        <v>82</v>
      </c>
      <c r="I862" s="2">
        <v>328</v>
      </c>
      <c r="J862" s="2">
        <v>188.38</v>
      </c>
      <c r="K862" s="2">
        <v>139.62</v>
      </c>
      <c r="L862" t="s">
        <v>35</v>
      </c>
    </row>
    <row r="863" spans="1:12" x14ac:dyDescent="0.35">
      <c r="A863" t="s">
        <v>1169</v>
      </c>
      <c r="B863">
        <v>45306</v>
      </c>
      <c r="C863" t="s">
        <v>778</v>
      </c>
      <c r="D863" t="s">
        <v>28</v>
      </c>
      <c r="E863" t="s">
        <v>29</v>
      </c>
      <c r="F863" t="s">
        <v>43</v>
      </c>
      <c r="G863">
        <v>4</v>
      </c>
      <c r="H863" s="2">
        <v>65</v>
      </c>
      <c r="I863" s="2">
        <v>260</v>
      </c>
      <c r="J863" s="2">
        <v>167.88</v>
      </c>
      <c r="K863" s="2">
        <v>92.12</v>
      </c>
      <c r="L863" t="s">
        <v>44</v>
      </c>
    </row>
    <row r="864" spans="1:12" x14ac:dyDescent="0.35">
      <c r="A864" t="s">
        <v>1170</v>
      </c>
      <c r="B864">
        <v>45344</v>
      </c>
      <c r="C864" t="s">
        <v>595</v>
      </c>
      <c r="D864" t="s">
        <v>28</v>
      </c>
      <c r="E864" t="s">
        <v>38</v>
      </c>
      <c r="F864" t="s">
        <v>58</v>
      </c>
      <c r="G864">
        <v>3</v>
      </c>
      <c r="H864" s="2">
        <v>49</v>
      </c>
      <c r="I864" s="2">
        <v>147</v>
      </c>
      <c r="J864" s="2">
        <v>73.510000000000005</v>
      </c>
      <c r="K864" s="2">
        <v>73.489999999999995</v>
      </c>
      <c r="L864" t="s">
        <v>17</v>
      </c>
    </row>
    <row r="865" spans="1:12" x14ac:dyDescent="0.35">
      <c r="A865" t="s">
        <v>1171</v>
      </c>
      <c r="B865">
        <v>45423</v>
      </c>
      <c r="C865" t="s">
        <v>163</v>
      </c>
      <c r="D865" t="s">
        <v>24</v>
      </c>
      <c r="E865" t="s">
        <v>29</v>
      </c>
      <c r="F865" t="s">
        <v>43</v>
      </c>
      <c r="G865">
        <v>2</v>
      </c>
      <c r="H865" s="2">
        <v>67</v>
      </c>
      <c r="I865" s="2">
        <v>134</v>
      </c>
      <c r="J865" s="2">
        <v>75.36</v>
      </c>
      <c r="K865" s="2">
        <v>58.64</v>
      </c>
      <c r="L865" t="s">
        <v>17</v>
      </c>
    </row>
    <row r="866" spans="1:12" x14ac:dyDescent="0.35">
      <c r="A866" t="s">
        <v>1172</v>
      </c>
      <c r="B866">
        <v>45605</v>
      </c>
      <c r="C866" t="s">
        <v>373</v>
      </c>
      <c r="D866" t="s">
        <v>42</v>
      </c>
      <c r="E866" t="s">
        <v>29</v>
      </c>
      <c r="F866" t="s">
        <v>30</v>
      </c>
      <c r="G866">
        <v>3</v>
      </c>
      <c r="H866" s="2">
        <v>73</v>
      </c>
      <c r="I866" s="2">
        <v>219</v>
      </c>
      <c r="J866" s="2">
        <v>117.76</v>
      </c>
      <c r="K866" s="2">
        <v>101.24</v>
      </c>
      <c r="L866" t="s">
        <v>44</v>
      </c>
    </row>
    <row r="867" spans="1:12" x14ac:dyDescent="0.35">
      <c r="A867" t="s">
        <v>1173</v>
      </c>
      <c r="B867">
        <v>45405</v>
      </c>
      <c r="C867" t="s">
        <v>243</v>
      </c>
      <c r="D867" t="s">
        <v>42</v>
      </c>
      <c r="E867" t="s">
        <v>38</v>
      </c>
      <c r="F867" t="s">
        <v>58</v>
      </c>
      <c r="G867">
        <v>3</v>
      </c>
      <c r="H867" s="2">
        <v>62</v>
      </c>
      <c r="I867" s="2">
        <v>186</v>
      </c>
      <c r="J867" s="2">
        <v>114.17</v>
      </c>
      <c r="K867" s="2">
        <v>71.83</v>
      </c>
      <c r="L867" t="s">
        <v>35</v>
      </c>
    </row>
    <row r="868" spans="1:12" x14ac:dyDescent="0.35">
      <c r="A868" t="s">
        <v>1174</v>
      </c>
      <c r="B868">
        <v>45578</v>
      </c>
      <c r="C868" t="s">
        <v>103</v>
      </c>
      <c r="D868" t="s">
        <v>28</v>
      </c>
      <c r="E868" t="s">
        <v>29</v>
      </c>
      <c r="F868" t="s">
        <v>47</v>
      </c>
      <c r="G868">
        <v>5</v>
      </c>
      <c r="H868" s="2">
        <v>79</v>
      </c>
      <c r="I868" s="2">
        <v>395</v>
      </c>
      <c r="J868" s="2">
        <v>282.36</v>
      </c>
      <c r="K868" s="2">
        <v>112.64</v>
      </c>
      <c r="L868" t="s">
        <v>17</v>
      </c>
    </row>
    <row r="869" spans="1:12" x14ac:dyDescent="0.35">
      <c r="A869" t="s">
        <v>1175</v>
      </c>
      <c r="B869">
        <v>45376</v>
      </c>
      <c r="C869" t="s">
        <v>535</v>
      </c>
      <c r="D869" t="s">
        <v>14</v>
      </c>
      <c r="E869" t="s">
        <v>33</v>
      </c>
      <c r="F869" t="s">
        <v>55</v>
      </c>
      <c r="G869">
        <v>2</v>
      </c>
      <c r="H869" s="2">
        <v>53</v>
      </c>
      <c r="I869" s="2">
        <v>106</v>
      </c>
      <c r="J869" s="2">
        <v>77.28</v>
      </c>
      <c r="K869" s="2">
        <v>28.72</v>
      </c>
      <c r="L869" t="s">
        <v>17</v>
      </c>
    </row>
    <row r="870" spans="1:12" x14ac:dyDescent="0.35">
      <c r="A870" t="s">
        <v>1176</v>
      </c>
      <c r="B870">
        <v>45358</v>
      </c>
      <c r="C870" t="s">
        <v>438</v>
      </c>
      <c r="D870" t="s">
        <v>42</v>
      </c>
      <c r="E870" t="s">
        <v>33</v>
      </c>
      <c r="F870" t="s">
        <v>92</v>
      </c>
      <c r="G870">
        <v>4</v>
      </c>
      <c r="H870" s="2">
        <v>53</v>
      </c>
      <c r="I870" s="2">
        <v>212</v>
      </c>
      <c r="J870" s="2">
        <v>166.84</v>
      </c>
      <c r="K870" s="2">
        <v>45.16</v>
      </c>
      <c r="L870" t="s">
        <v>21</v>
      </c>
    </row>
    <row r="871" spans="1:12" x14ac:dyDescent="0.35">
      <c r="A871" t="s">
        <v>1177</v>
      </c>
      <c r="B871">
        <v>45432</v>
      </c>
      <c r="C871" t="s">
        <v>410</v>
      </c>
      <c r="D871" t="s">
        <v>42</v>
      </c>
      <c r="E871" t="s">
        <v>29</v>
      </c>
      <c r="F871" t="s">
        <v>75</v>
      </c>
      <c r="G871">
        <v>4</v>
      </c>
      <c r="H871" s="2">
        <v>30</v>
      </c>
      <c r="I871" s="2">
        <v>120</v>
      </c>
      <c r="J871" s="2">
        <v>81.77</v>
      </c>
      <c r="K871" s="2">
        <v>38.229999999999997</v>
      </c>
      <c r="L871" t="s">
        <v>21</v>
      </c>
    </row>
    <row r="872" spans="1:12" x14ac:dyDescent="0.35">
      <c r="A872" t="s">
        <v>1178</v>
      </c>
      <c r="B872">
        <v>45490</v>
      </c>
      <c r="C872" t="s">
        <v>389</v>
      </c>
      <c r="D872" t="s">
        <v>14</v>
      </c>
      <c r="E872" t="s">
        <v>15</v>
      </c>
      <c r="F872" t="s">
        <v>25</v>
      </c>
      <c r="G872">
        <v>4</v>
      </c>
      <c r="H872" s="2">
        <v>81</v>
      </c>
      <c r="I872" s="2">
        <v>324</v>
      </c>
      <c r="J872" s="2">
        <v>193.73</v>
      </c>
      <c r="K872" s="2">
        <v>130.27000000000001</v>
      </c>
      <c r="L872" t="s">
        <v>44</v>
      </c>
    </row>
    <row r="873" spans="1:12" x14ac:dyDescent="0.35">
      <c r="A873" t="s">
        <v>1179</v>
      </c>
      <c r="B873">
        <v>45438</v>
      </c>
      <c r="C873" t="s">
        <v>428</v>
      </c>
      <c r="D873" t="s">
        <v>24</v>
      </c>
      <c r="E873" t="s">
        <v>33</v>
      </c>
      <c r="F873" t="s">
        <v>34</v>
      </c>
      <c r="G873">
        <v>2</v>
      </c>
      <c r="H873" s="2">
        <v>89</v>
      </c>
      <c r="I873" s="2">
        <v>178</v>
      </c>
      <c r="J873" s="2">
        <v>134.41999999999999</v>
      </c>
      <c r="K873" s="2">
        <v>43.58</v>
      </c>
      <c r="L873" t="s">
        <v>21</v>
      </c>
    </row>
    <row r="874" spans="1:12" x14ac:dyDescent="0.35">
      <c r="A874" t="s">
        <v>1180</v>
      </c>
      <c r="B874">
        <v>45473</v>
      </c>
      <c r="C874" t="s">
        <v>130</v>
      </c>
      <c r="D874" t="s">
        <v>14</v>
      </c>
      <c r="E874" t="s">
        <v>33</v>
      </c>
      <c r="F874" t="s">
        <v>34</v>
      </c>
      <c r="G874">
        <v>4</v>
      </c>
      <c r="H874" s="2">
        <v>21</v>
      </c>
      <c r="I874" s="2">
        <v>84</v>
      </c>
      <c r="J874" s="2">
        <v>51.4</v>
      </c>
      <c r="K874" s="2">
        <v>32.6</v>
      </c>
      <c r="L874" t="s">
        <v>44</v>
      </c>
    </row>
    <row r="875" spans="1:12" x14ac:dyDescent="0.35">
      <c r="A875" t="s">
        <v>1181</v>
      </c>
      <c r="B875">
        <v>45375</v>
      </c>
      <c r="C875" t="s">
        <v>1120</v>
      </c>
      <c r="D875" t="s">
        <v>42</v>
      </c>
      <c r="E875" t="s">
        <v>29</v>
      </c>
      <c r="F875" t="s">
        <v>30</v>
      </c>
      <c r="G875">
        <v>1</v>
      </c>
      <c r="H875" s="2">
        <v>46</v>
      </c>
      <c r="I875" s="2">
        <v>46</v>
      </c>
      <c r="J875" s="2">
        <v>24.58</v>
      </c>
      <c r="K875" s="2">
        <v>21.42</v>
      </c>
      <c r="L875" t="s">
        <v>17</v>
      </c>
    </row>
    <row r="876" spans="1:12" x14ac:dyDescent="0.35">
      <c r="A876" t="s">
        <v>1182</v>
      </c>
      <c r="B876">
        <v>45554</v>
      </c>
      <c r="C876" t="s">
        <v>224</v>
      </c>
      <c r="D876" t="s">
        <v>24</v>
      </c>
      <c r="E876" t="s">
        <v>15</v>
      </c>
      <c r="F876" t="s">
        <v>25</v>
      </c>
      <c r="G876">
        <v>5</v>
      </c>
      <c r="H876" s="2">
        <v>18</v>
      </c>
      <c r="I876" s="2">
        <v>90</v>
      </c>
      <c r="J876" s="2">
        <v>62.12</v>
      </c>
      <c r="K876" s="2">
        <v>27.88</v>
      </c>
      <c r="L876" t="s">
        <v>17</v>
      </c>
    </row>
    <row r="877" spans="1:12" x14ac:dyDescent="0.35">
      <c r="A877" t="s">
        <v>1183</v>
      </c>
      <c r="B877">
        <v>45405</v>
      </c>
      <c r="C877" t="s">
        <v>603</v>
      </c>
      <c r="D877" t="s">
        <v>24</v>
      </c>
      <c r="E877" t="s">
        <v>15</v>
      </c>
      <c r="F877" t="s">
        <v>25</v>
      </c>
      <c r="G877">
        <v>1</v>
      </c>
      <c r="H877" s="2">
        <v>91</v>
      </c>
      <c r="I877" s="2">
        <v>91</v>
      </c>
      <c r="J877" s="2">
        <v>53.6</v>
      </c>
      <c r="K877" s="2">
        <v>37.4</v>
      </c>
      <c r="L877" t="s">
        <v>44</v>
      </c>
    </row>
    <row r="878" spans="1:12" x14ac:dyDescent="0.35">
      <c r="A878" t="s">
        <v>1184</v>
      </c>
      <c r="B878">
        <v>45433</v>
      </c>
      <c r="C878" t="s">
        <v>330</v>
      </c>
      <c r="D878" t="s">
        <v>42</v>
      </c>
      <c r="E878" t="s">
        <v>29</v>
      </c>
      <c r="F878" t="s">
        <v>43</v>
      </c>
      <c r="G878">
        <v>4</v>
      </c>
      <c r="H878" s="2">
        <v>93</v>
      </c>
      <c r="I878" s="2">
        <v>372</v>
      </c>
      <c r="J878" s="2">
        <v>228.66</v>
      </c>
      <c r="K878" s="2">
        <v>143.34</v>
      </c>
      <c r="L878" t="s">
        <v>21</v>
      </c>
    </row>
    <row r="879" spans="1:12" x14ac:dyDescent="0.35">
      <c r="A879" t="s">
        <v>1185</v>
      </c>
      <c r="B879">
        <v>45478</v>
      </c>
      <c r="C879" t="s">
        <v>570</v>
      </c>
      <c r="D879" t="s">
        <v>28</v>
      </c>
      <c r="E879" t="s">
        <v>33</v>
      </c>
      <c r="F879" t="s">
        <v>92</v>
      </c>
      <c r="G879">
        <v>1</v>
      </c>
      <c r="H879" s="2">
        <v>11</v>
      </c>
      <c r="I879" s="2">
        <v>11</v>
      </c>
      <c r="J879" s="2">
        <v>6.5</v>
      </c>
      <c r="K879" s="2">
        <v>4.5</v>
      </c>
      <c r="L879" t="s">
        <v>44</v>
      </c>
    </row>
    <row r="880" spans="1:12" x14ac:dyDescent="0.35">
      <c r="A880" t="s">
        <v>1186</v>
      </c>
      <c r="B880">
        <v>45321</v>
      </c>
      <c r="C880" t="s">
        <v>998</v>
      </c>
      <c r="D880" t="s">
        <v>14</v>
      </c>
      <c r="E880" t="s">
        <v>29</v>
      </c>
      <c r="F880" t="s">
        <v>75</v>
      </c>
      <c r="G880">
        <v>3</v>
      </c>
      <c r="H880" s="2">
        <v>42</v>
      </c>
      <c r="I880" s="2">
        <v>126</v>
      </c>
      <c r="J880" s="2">
        <v>68.900000000000006</v>
      </c>
      <c r="K880" s="2">
        <v>57.1</v>
      </c>
      <c r="L880" t="s">
        <v>35</v>
      </c>
    </row>
    <row r="881" spans="1:12" x14ac:dyDescent="0.35">
      <c r="A881" t="s">
        <v>1187</v>
      </c>
      <c r="B881">
        <v>45558</v>
      </c>
      <c r="C881" t="s">
        <v>1021</v>
      </c>
      <c r="D881" t="s">
        <v>14</v>
      </c>
      <c r="E881" t="s">
        <v>38</v>
      </c>
      <c r="F881" t="s">
        <v>39</v>
      </c>
      <c r="G881">
        <v>2</v>
      </c>
      <c r="H881" s="2">
        <v>92</v>
      </c>
      <c r="I881" s="2">
        <v>184</v>
      </c>
      <c r="J881" s="2">
        <v>94.99</v>
      </c>
      <c r="K881" s="2">
        <v>89.01</v>
      </c>
      <c r="L881" t="s">
        <v>21</v>
      </c>
    </row>
    <row r="882" spans="1:12" x14ac:dyDescent="0.35">
      <c r="A882" t="s">
        <v>1188</v>
      </c>
      <c r="B882">
        <v>45349</v>
      </c>
      <c r="C882" t="s">
        <v>643</v>
      </c>
      <c r="D882" t="s">
        <v>14</v>
      </c>
      <c r="E882" t="s">
        <v>33</v>
      </c>
      <c r="F882" t="s">
        <v>55</v>
      </c>
      <c r="G882">
        <v>4</v>
      </c>
      <c r="H882" s="2">
        <v>82</v>
      </c>
      <c r="I882" s="2">
        <v>328</v>
      </c>
      <c r="J882" s="2">
        <v>227.58</v>
      </c>
      <c r="K882" s="2">
        <v>100.42</v>
      </c>
      <c r="L882" t="s">
        <v>35</v>
      </c>
    </row>
    <row r="883" spans="1:12" x14ac:dyDescent="0.35">
      <c r="A883" t="s">
        <v>1189</v>
      </c>
      <c r="B883">
        <v>45519</v>
      </c>
      <c r="C883" t="s">
        <v>1190</v>
      </c>
      <c r="D883" t="s">
        <v>14</v>
      </c>
      <c r="E883" t="s">
        <v>29</v>
      </c>
      <c r="F883" t="s">
        <v>43</v>
      </c>
      <c r="G883">
        <v>1</v>
      </c>
      <c r="H883" s="2">
        <v>14</v>
      </c>
      <c r="I883" s="2">
        <v>14</v>
      </c>
      <c r="J883" s="2">
        <v>9.31</v>
      </c>
      <c r="K883" s="2">
        <v>4.6900000000000004</v>
      </c>
      <c r="L883" t="s">
        <v>17</v>
      </c>
    </row>
    <row r="884" spans="1:12" x14ac:dyDescent="0.35">
      <c r="A884" t="s">
        <v>1191</v>
      </c>
      <c r="B884">
        <v>45601</v>
      </c>
      <c r="C884" t="s">
        <v>68</v>
      </c>
      <c r="D884" t="s">
        <v>28</v>
      </c>
      <c r="E884" t="s">
        <v>38</v>
      </c>
      <c r="F884" t="s">
        <v>39</v>
      </c>
      <c r="G884">
        <v>5</v>
      </c>
      <c r="H884" s="2">
        <v>23</v>
      </c>
      <c r="I884" s="2">
        <v>115</v>
      </c>
      <c r="J884" s="2">
        <v>85.14</v>
      </c>
      <c r="K884" s="2">
        <v>29.86</v>
      </c>
      <c r="L884" t="s">
        <v>35</v>
      </c>
    </row>
    <row r="885" spans="1:12" x14ac:dyDescent="0.35">
      <c r="A885" t="s">
        <v>1192</v>
      </c>
      <c r="B885">
        <v>45595</v>
      </c>
      <c r="C885" t="s">
        <v>590</v>
      </c>
      <c r="D885" t="s">
        <v>14</v>
      </c>
      <c r="E885" t="s">
        <v>15</v>
      </c>
      <c r="F885" t="s">
        <v>25</v>
      </c>
      <c r="G885">
        <v>3</v>
      </c>
      <c r="H885" s="2">
        <v>43</v>
      </c>
      <c r="I885" s="2">
        <v>129</v>
      </c>
      <c r="J885" s="2">
        <v>102.98</v>
      </c>
      <c r="K885" s="2">
        <v>26.02</v>
      </c>
      <c r="L885" t="s">
        <v>44</v>
      </c>
    </row>
    <row r="886" spans="1:12" x14ac:dyDescent="0.35">
      <c r="A886" t="s">
        <v>1193</v>
      </c>
      <c r="B886">
        <v>45451</v>
      </c>
      <c r="C886" t="s">
        <v>155</v>
      </c>
      <c r="D886" t="s">
        <v>42</v>
      </c>
      <c r="E886" t="s">
        <v>29</v>
      </c>
      <c r="F886" t="s">
        <v>47</v>
      </c>
      <c r="G886">
        <v>2</v>
      </c>
      <c r="H886" s="2">
        <v>32</v>
      </c>
      <c r="I886" s="2">
        <v>64</v>
      </c>
      <c r="J886" s="2">
        <v>34.9</v>
      </c>
      <c r="K886" s="2">
        <v>29.1</v>
      </c>
      <c r="L886" t="s">
        <v>35</v>
      </c>
    </row>
    <row r="887" spans="1:12" x14ac:dyDescent="0.35">
      <c r="A887" t="s">
        <v>1194</v>
      </c>
      <c r="B887">
        <v>45375</v>
      </c>
      <c r="C887" t="s">
        <v>155</v>
      </c>
      <c r="D887" t="s">
        <v>42</v>
      </c>
      <c r="E887" t="s">
        <v>38</v>
      </c>
      <c r="F887" t="s">
        <v>58</v>
      </c>
      <c r="G887">
        <v>2</v>
      </c>
      <c r="H887" s="2">
        <v>33</v>
      </c>
      <c r="I887" s="2">
        <v>66</v>
      </c>
      <c r="J887" s="2">
        <v>39.549999999999997</v>
      </c>
      <c r="K887" s="2">
        <v>26.45</v>
      </c>
      <c r="L887" t="s">
        <v>35</v>
      </c>
    </row>
    <row r="888" spans="1:12" x14ac:dyDescent="0.35">
      <c r="A888" t="s">
        <v>1195</v>
      </c>
      <c r="B888">
        <v>45312</v>
      </c>
      <c r="C888" t="s">
        <v>466</v>
      </c>
      <c r="D888" t="s">
        <v>28</v>
      </c>
      <c r="E888" t="s">
        <v>15</v>
      </c>
      <c r="F888" t="s">
        <v>25</v>
      </c>
      <c r="G888">
        <v>5</v>
      </c>
      <c r="H888" s="2">
        <v>45</v>
      </c>
      <c r="I888" s="2">
        <v>225</v>
      </c>
      <c r="J888" s="2">
        <v>157.94</v>
      </c>
      <c r="K888" s="2">
        <v>67.06</v>
      </c>
      <c r="L888" t="s">
        <v>35</v>
      </c>
    </row>
    <row r="889" spans="1:12" x14ac:dyDescent="0.35">
      <c r="A889" t="s">
        <v>1196</v>
      </c>
      <c r="B889">
        <v>45528</v>
      </c>
      <c r="C889" t="s">
        <v>288</v>
      </c>
      <c r="D889" t="s">
        <v>28</v>
      </c>
      <c r="E889" t="s">
        <v>38</v>
      </c>
      <c r="F889" t="s">
        <v>58</v>
      </c>
      <c r="G889">
        <v>5</v>
      </c>
      <c r="H889" s="2">
        <v>15</v>
      </c>
      <c r="I889" s="2">
        <v>75</v>
      </c>
      <c r="J889" s="2">
        <v>53.09</v>
      </c>
      <c r="K889" s="2">
        <v>21.91</v>
      </c>
      <c r="L889" t="s">
        <v>35</v>
      </c>
    </row>
    <row r="890" spans="1:12" x14ac:dyDescent="0.35">
      <c r="A890" t="s">
        <v>1197</v>
      </c>
      <c r="B890">
        <v>45336</v>
      </c>
      <c r="C890" t="s">
        <v>1198</v>
      </c>
      <c r="D890" t="s">
        <v>24</v>
      </c>
      <c r="E890" t="s">
        <v>29</v>
      </c>
      <c r="F890" t="s">
        <v>47</v>
      </c>
      <c r="G890">
        <v>4</v>
      </c>
      <c r="H890" s="2">
        <v>77</v>
      </c>
      <c r="I890" s="2">
        <v>308</v>
      </c>
      <c r="J890" s="2">
        <v>161.9</v>
      </c>
      <c r="K890" s="2">
        <v>146.1</v>
      </c>
      <c r="L890" t="s">
        <v>21</v>
      </c>
    </row>
    <row r="891" spans="1:12" x14ac:dyDescent="0.35">
      <c r="A891" t="s">
        <v>1199</v>
      </c>
      <c r="B891">
        <v>45368</v>
      </c>
      <c r="C891" t="s">
        <v>298</v>
      </c>
      <c r="D891" t="s">
        <v>24</v>
      </c>
      <c r="E891" t="s">
        <v>33</v>
      </c>
      <c r="F891" t="s">
        <v>92</v>
      </c>
      <c r="G891">
        <v>1</v>
      </c>
      <c r="H891" s="2">
        <v>50</v>
      </c>
      <c r="I891" s="2">
        <v>50</v>
      </c>
      <c r="J891" s="2">
        <v>32.94</v>
      </c>
      <c r="K891" s="2">
        <v>17.059999999999999</v>
      </c>
      <c r="L891" t="s">
        <v>17</v>
      </c>
    </row>
    <row r="892" spans="1:12" x14ac:dyDescent="0.35">
      <c r="A892" t="s">
        <v>1200</v>
      </c>
      <c r="B892">
        <v>45476</v>
      </c>
      <c r="C892" t="s">
        <v>407</v>
      </c>
      <c r="D892" t="s">
        <v>14</v>
      </c>
      <c r="E892" t="s">
        <v>15</v>
      </c>
      <c r="F892" t="s">
        <v>25</v>
      </c>
      <c r="G892">
        <v>1</v>
      </c>
      <c r="H892" s="2">
        <v>42</v>
      </c>
      <c r="I892" s="2">
        <v>42</v>
      </c>
      <c r="J892" s="2">
        <v>32.5</v>
      </c>
      <c r="K892" s="2">
        <v>9.5</v>
      </c>
      <c r="L892" t="s">
        <v>21</v>
      </c>
    </row>
    <row r="893" spans="1:12" x14ac:dyDescent="0.35">
      <c r="A893" t="s">
        <v>1201</v>
      </c>
      <c r="B893">
        <v>45363</v>
      </c>
      <c r="C893" t="s">
        <v>1202</v>
      </c>
      <c r="D893" t="s">
        <v>24</v>
      </c>
      <c r="E893" t="s">
        <v>29</v>
      </c>
      <c r="F893" t="s">
        <v>43</v>
      </c>
      <c r="G893">
        <v>2</v>
      </c>
      <c r="H893" s="2">
        <v>72</v>
      </c>
      <c r="I893" s="2">
        <v>144</v>
      </c>
      <c r="J893" s="2">
        <v>80.56</v>
      </c>
      <c r="K893" s="2">
        <v>63.44</v>
      </c>
      <c r="L893" t="s">
        <v>44</v>
      </c>
    </row>
    <row r="894" spans="1:12" x14ac:dyDescent="0.35">
      <c r="A894" t="s">
        <v>1203</v>
      </c>
      <c r="B894">
        <v>45525</v>
      </c>
      <c r="C894" t="s">
        <v>741</v>
      </c>
      <c r="D894" t="s">
        <v>42</v>
      </c>
      <c r="E894" t="s">
        <v>33</v>
      </c>
      <c r="F894" t="s">
        <v>55</v>
      </c>
      <c r="G894">
        <v>4</v>
      </c>
      <c r="H894" s="2">
        <v>78</v>
      </c>
      <c r="I894" s="2">
        <v>312</v>
      </c>
      <c r="J894" s="2">
        <v>206.87</v>
      </c>
      <c r="K894" s="2">
        <v>105.13</v>
      </c>
      <c r="L894" t="s">
        <v>35</v>
      </c>
    </row>
    <row r="895" spans="1:12" x14ac:dyDescent="0.35">
      <c r="A895" t="s">
        <v>1204</v>
      </c>
      <c r="B895">
        <v>45415</v>
      </c>
      <c r="C895" t="s">
        <v>179</v>
      </c>
      <c r="D895" t="s">
        <v>24</v>
      </c>
      <c r="E895" t="s">
        <v>38</v>
      </c>
      <c r="F895" t="s">
        <v>52</v>
      </c>
      <c r="G895">
        <v>4</v>
      </c>
      <c r="H895" s="2">
        <v>62</v>
      </c>
      <c r="I895" s="2">
        <v>248</v>
      </c>
      <c r="J895" s="2">
        <v>148.88</v>
      </c>
      <c r="K895" s="2">
        <v>99.12</v>
      </c>
      <c r="L895" t="s">
        <v>21</v>
      </c>
    </row>
    <row r="896" spans="1:12" x14ac:dyDescent="0.35">
      <c r="A896" t="s">
        <v>1205</v>
      </c>
      <c r="B896">
        <v>45308</v>
      </c>
      <c r="C896" t="s">
        <v>556</v>
      </c>
      <c r="D896" t="s">
        <v>28</v>
      </c>
      <c r="E896" t="s">
        <v>38</v>
      </c>
      <c r="F896" t="s">
        <v>58</v>
      </c>
      <c r="G896">
        <v>2</v>
      </c>
      <c r="H896" s="2">
        <v>14</v>
      </c>
      <c r="I896" s="2">
        <v>28</v>
      </c>
      <c r="J896" s="2">
        <v>16.690000000000001</v>
      </c>
      <c r="K896" s="2">
        <v>11.31</v>
      </c>
      <c r="L896" t="s">
        <v>17</v>
      </c>
    </row>
    <row r="897" spans="1:12" x14ac:dyDescent="0.35">
      <c r="A897" t="s">
        <v>1206</v>
      </c>
      <c r="B897">
        <v>45618</v>
      </c>
      <c r="C897" t="s">
        <v>689</v>
      </c>
      <c r="D897" t="s">
        <v>24</v>
      </c>
      <c r="E897" t="s">
        <v>15</v>
      </c>
      <c r="F897" t="s">
        <v>16</v>
      </c>
      <c r="G897">
        <v>4</v>
      </c>
      <c r="H897" s="2">
        <v>70</v>
      </c>
      <c r="I897" s="2">
        <v>280</v>
      </c>
      <c r="J897" s="2">
        <v>210.08</v>
      </c>
      <c r="K897" s="2">
        <v>69.92</v>
      </c>
      <c r="L897" t="s">
        <v>35</v>
      </c>
    </row>
    <row r="898" spans="1:12" x14ac:dyDescent="0.35">
      <c r="A898" t="s">
        <v>1207</v>
      </c>
      <c r="B898">
        <v>45626</v>
      </c>
      <c r="C898" t="s">
        <v>205</v>
      </c>
      <c r="D898" t="s">
        <v>28</v>
      </c>
      <c r="E898" t="s">
        <v>15</v>
      </c>
      <c r="F898" t="s">
        <v>25</v>
      </c>
      <c r="G898">
        <v>2</v>
      </c>
      <c r="H898" s="2">
        <v>61</v>
      </c>
      <c r="I898" s="2">
        <v>122</v>
      </c>
      <c r="J898" s="2">
        <v>76.45</v>
      </c>
      <c r="K898" s="2">
        <v>45.55</v>
      </c>
      <c r="L898" t="s">
        <v>35</v>
      </c>
    </row>
    <row r="899" spans="1:12" x14ac:dyDescent="0.35">
      <c r="A899" t="s">
        <v>1208</v>
      </c>
      <c r="B899">
        <v>45350</v>
      </c>
      <c r="C899" t="s">
        <v>647</v>
      </c>
      <c r="D899" t="s">
        <v>42</v>
      </c>
      <c r="E899" t="s">
        <v>29</v>
      </c>
      <c r="F899" t="s">
        <v>30</v>
      </c>
      <c r="G899">
        <v>4</v>
      </c>
      <c r="H899" s="2">
        <v>60</v>
      </c>
      <c r="I899" s="2">
        <v>240</v>
      </c>
      <c r="J899" s="2">
        <v>130.1</v>
      </c>
      <c r="K899" s="2">
        <v>109.9</v>
      </c>
      <c r="L899" t="s">
        <v>44</v>
      </c>
    </row>
    <row r="900" spans="1:12" x14ac:dyDescent="0.35">
      <c r="A900" t="s">
        <v>1209</v>
      </c>
      <c r="B900">
        <v>45443</v>
      </c>
      <c r="C900" t="s">
        <v>125</v>
      </c>
      <c r="D900" t="s">
        <v>28</v>
      </c>
      <c r="E900" t="s">
        <v>38</v>
      </c>
      <c r="F900" t="s">
        <v>58</v>
      </c>
      <c r="G900">
        <v>1</v>
      </c>
      <c r="H900" s="2">
        <v>43</v>
      </c>
      <c r="I900" s="2">
        <v>43</v>
      </c>
      <c r="J900" s="2">
        <v>29.51</v>
      </c>
      <c r="K900" s="2">
        <v>13.49</v>
      </c>
      <c r="L900" t="s">
        <v>35</v>
      </c>
    </row>
    <row r="901" spans="1:12" x14ac:dyDescent="0.35">
      <c r="A901" t="s">
        <v>1210</v>
      </c>
      <c r="B901">
        <v>45428</v>
      </c>
      <c r="C901" t="s">
        <v>132</v>
      </c>
      <c r="D901" t="s">
        <v>28</v>
      </c>
      <c r="E901" t="s">
        <v>38</v>
      </c>
      <c r="F901" t="s">
        <v>39</v>
      </c>
      <c r="G901">
        <v>1</v>
      </c>
      <c r="H901" s="2">
        <v>80</v>
      </c>
      <c r="I901" s="2">
        <v>80</v>
      </c>
      <c r="J901" s="2">
        <v>43.63</v>
      </c>
      <c r="K901" s="2">
        <v>36.369999999999997</v>
      </c>
      <c r="L901" t="s">
        <v>21</v>
      </c>
    </row>
    <row r="902" spans="1:12" x14ac:dyDescent="0.35">
      <c r="A902" t="s">
        <v>1211</v>
      </c>
      <c r="B902">
        <v>45391</v>
      </c>
      <c r="C902" t="s">
        <v>535</v>
      </c>
      <c r="D902" t="s">
        <v>42</v>
      </c>
      <c r="E902" t="s">
        <v>33</v>
      </c>
      <c r="F902" t="s">
        <v>55</v>
      </c>
      <c r="G902">
        <v>1</v>
      </c>
      <c r="H902" s="2">
        <v>36</v>
      </c>
      <c r="I902" s="2">
        <v>36</v>
      </c>
      <c r="J902" s="2">
        <v>24.64</v>
      </c>
      <c r="K902" s="2">
        <v>11.36</v>
      </c>
      <c r="L902" t="s">
        <v>17</v>
      </c>
    </row>
    <row r="903" spans="1:12" x14ac:dyDescent="0.35">
      <c r="A903" t="s">
        <v>1212</v>
      </c>
      <c r="B903">
        <v>45444</v>
      </c>
      <c r="C903" t="s">
        <v>163</v>
      </c>
      <c r="D903" t="s">
        <v>28</v>
      </c>
      <c r="E903" t="s">
        <v>38</v>
      </c>
      <c r="F903" t="s">
        <v>58</v>
      </c>
      <c r="G903">
        <v>3</v>
      </c>
      <c r="H903" s="2">
        <v>96</v>
      </c>
      <c r="I903" s="2">
        <v>288</v>
      </c>
      <c r="J903" s="2">
        <v>193.29</v>
      </c>
      <c r="K903" s="2">
        <v>94.71</v>
      </c>
      <c r="L903" t="s">
        <v>17</v>
      </c>
    </row>
    <row r="904" spans="1:12" x14ac:dyDescent="0.35">
      <c r="A904" t="s">
        <v>1213</v>
      </c>
      <c r="B904">
        <v>45609</v>
      </c>
      <c r="C904" t="s">
        <v>1040</v>
      </c>
      <c r="D904" t="s">
        <v>42</v>
      </c>
      <c r="E904" t="s">
        <v>15</v>
      </c>
      <c r="F904" t="s">
        <v>20</v>
      </c>
      <c r="G904">
        <v>1</v>
      </c>
      <c r="H904" s="2">
        <v>93</v>
      </c>
      <c r="I904" s="2">
        <v>93</v>
      </c>
      <c r="J904" s="2">
        <v>46.92</v>
      </c>
      <c r="K904" s="2">
        <v>46.08</v>
      </c>
      <c r="L904" t="s">
        <v>21</v>
      </c>
    </row>
    <row r="905" spans="1:12" x14ac:dyDescent="0.35">
      <c r="A905" t="s">
        <v>1214</v>
      </c>
      <c r="B905">
        <v>45632</v>
      </c>
      <c r="C905" t="s">
        <v>199</v>
      </c>
      <c r="D905" t="s">
        <v>42</v>
      </c>
      <c r="E905" t="s">
        <v>29</v>
      </c>
      <c r="F905" t="s">
        <v>43</v>
      </c>
      <c r="G905">
        <v>3</v>
      </c>
      <c r="H905" s="2">
        <v>22</v>
      </c>
      <c r="I905" s="2">
        <v>66</v>
      </c>
      <c r="J905" s="2">
        <v>37.840000000000003</v>
      </c>
      <c r="K905" s="2">
        <v>28.16</v>
      </c>
      <c r="L905" t="s">
        <v>17</v>
      </c>
    </row>
    <row r="906" spans="1:12" x14ac:dyDescent="0.35">
      <c r="A906" t="s">
        <v>1215</v>
      </c>
      <c r="B906">
        <v>45346</v>
      </c>
      <c r="C906" t="s">
        <v>636</v>
      </c>
      <c r="D906" t="s">
        <v>14</v>
      </c>
      <c r="E906" t="s">
        <v>33</v>
      </c>
      <c r="F906" t="s">
        <v>34</v>
      </c>
      <c r="G906">
        <v>1</v>
      </c>
      <c r="H906" s="2">
        <v>96</v>
      </c>
      <c r="I906" s="2">
        <v>96</v>
      </c>
      <c r="J906" s="2">
        <v>48.63</v>
      </c>
      <c r="K906" s="2">
        <v>47.37</v>
      </c>
      <c r="L906" t="s">
        <v>21</v>
      </c>
    </row>
    <row r="907" spans="1:12" x14ac:dyDescent="0.35">
      <c r="A907" t="s">
        <v>1216</v>
      </c>
      <c r="B907">
        <v>45412</v>
      </c>
      <c r="C907" t="s">
        <v>184</v>
      </c>
      <c r="D907" t="s">
        <v>24</v>
      </c>
      <c r="E907" t="s">
        <v>38</v>
      </c>
      <c r="F907" t="s">
        <v>39</v>
      </c>
      <c r="G907">
        <v>3</v>
      </c>
      <c r="H907" s="2">
        <v>27</v>
      </c>
      <c r="I907" s="2">
        <v>81</v>
      </c>
      <c r="J907" s="2">
        <v>48.29</v>
      </c>
      <c r="K907" s="2">
        <v>32.71</v>
      </c>
      <c r="L907" t="s">
        <v>21</v>
      </c>
    </row>
    <row r="908" spans="1:12" x14ac:dyDescent="0.35">
      <c r="A908" t="s">
        <v>1217</v>
      </c>
      <c r="B908">
        <v>45317</v>
      </c>
      <c r="C908" t="s">
        <v>243</v>
      </c>
      <c r="D908" t="s">
        <v>42</v>
      </c>
      <c r="E908" t="s">
        <v>33</v>
      </c>
      <c r="F908" t="s">
        <v>34</v>
      </c>
      <c r="G908">
        <v>4</v>
      </c>
      <c r="H908" s="2">
        <v>80</v>
      </c>
      <c r="I908" s="2">
        <v>320</v>
      </c>
      <c r="J908" s="2">
        <v>228.5</v>
      </c>
      <c r="K908" s="2">
        <v>91.5</v>
      </c>
      <c r="L908" t="s">
        <v>44</v>
      </c>
    </row>
    <row r="909" spans="1:12" x14ac:dyDescent="0.35">
      <c r="A909" t="s">
        <v>1218</v>
      </c>
      <c r="B909">
        <v>45364</v>
      </c>
      <c r="C909" t="s">
        <v>603</v>
      </c>
      <c r="D909" t="s">
        <v>14</v>
      </c>
      <c r="E909" t="s">
        <v>29</v>
      </c>
      <c r="F909" t="s">
        <v>30</v>
      </c>
      <c r="G909">
        <v>3</v>
      </c>
      <c r="H909" s="2">
        <v>78</v>
      </c>
      <c r="I909" s="2">
        <v>234</v>
      </c>
      <c r="J909" s="2">
        <v>121.1</v>
      </c>
      <c r="K909" s="2">
        <v>112.9</v>
      </c>
      <c r="L909" t="s">
        <v>17</v>
      </c>
    </row>
    <row r="910" spans="1:12" x14ac:dyDescent="0.35">
      <c r="A910" t="s">
        <v>1219</v>
      </c>
      <c r="B910">
        <v>45588</v>
      </c>
      <c r="C910" t="s">
        <v>440</v>
      </c>
      <c r="D910" t="s">
        <v>28</v>
      </c>
      <c r="E910" t="s">
        <v>33</v>
      </c>
      <c r="F910" t="s">
        <v>34</v>
      </c>
      <c r="G910">
        <v>5</v>
      </c>
      <c r="H910" s="2">
        <v>33</v>
      </c>
      <c r="I910" s="2">
        <v>165</v>
      </c>
      <c r="J910" s="2">
        <v>115.52</v>
      </c>
      <c r="K910" s="2">
        <v>49.48</v>
      </c>
      <c r="L910" t="s">
        <v>17</v>
      </c>
    </row>
    <row r="911" spans="1:12" x14ac:dyDescent="0.35">
      <c r="A911" t="s">
        <v>1220</v>
      </c>
      <c r="B911">
        <v>45609</v>
      </c>
      <c r="C911" t="s">
        <v>308</v>
      </c>
      <c r="D911" t="s">
        <v>28</v>
      </c>
      <c r="E911" t="s">
        <v>15</v>
      </c>
      <c r="F911" t="s">
        <v>20</v>
      </c>
      <c r="G911">
        <v>2</v>
      </c>
      <c r="H911" s="2">
        <v>17</v>
      </c>
      <c r="I911" s="2">
        <v>34</v>
      </c>
      <c r="J911" s="2">
        <v>22.45</v>
      </c>
      <c r="K911" s="2">
        <v>11.55</v>
      </c>
      <c r="L911" t="s">
        <v>21</v>
      </c>
    </row>
    <row r="912" spans="1:12" x14ac:dyDescent="0.35">
      <c r="A912" t="s">
        <v>1221</v>
      </c>
      <c r="B912">
        <v>45558</v>
      </c>
      <c r="C912" t="s">
        <v>783</v>
      </c>
      <c r="D912" t="s">
        <v>28</v>
      </c>
      <c r="E912" t="s">
        <v>29</v>
      </c>
      <c r="F912" t="s">
        <v>47</v>
      </c>
      <c r="G912">
        <v>1</v>
      </c>
      <c r="H912" s="2">
        <v>49</v>
      </c>
      <c r="I912" s="2">
        <v>49</v>
      </c>
      <c r="J912" s="2">
        <v>37.630000000000003</v>
      </c>
      <c r="K912" s="2">
        <v>11.37</v>
      </c>
      <c r="L912" t="s">
        <v>44</v>
      </c>
    </row>
    <row r="913" spans="1:12" x14ac:dyDescent="0.35">
      <c r="A913" t="s">
        <v>1222</v>
      </c>
      <c r="B913">
        <v>45331</v>
      </c>
      <c r="C913" t="s">
        <v>842</v>
      </c>
      <c r="D913" t="s">
        <v>28</v>
      </c>
      <c r="E913" t="s">
        <v>33</v>
      </c>
      <c r="F913" t="s">
        <v>55</v>
      </c>
      <c r="G913">
        <v>1</v>
      </c>
      <c r="H913" s="2">
        <v>53</v>
      </c>
      <c r="I913" s="2">
        <v>53</v>
      </c>
      <c r="J913" s="2">
        <v>40.76</v>
      </c>
      <c r="K913" s="2">
        <v>12.24</v>
      </c>
      <c r="L913" t="s">
        <v>21</v>
      </c>
    </row>
    <row r="914" spans="1:12" x14ac:dyDescent="0.35">
      <c r="A914" t="s">
        <v>1223</v>
      </c>
      <c r="B914">
        <v>45401</v>
      </c>
      <c r="C914" t="s">
        <v>282</v>
      </c>
      <c r="D914" t="s">
        <v>42</v>
      </c>
      <c r="E914" t="s">
        <v>15</v>
      </c>
      <c r="F914" t="s">
        <v>20</v>
      </c>
      <c r="G914">
        <v>5</v>
      </c>
      <c r="H914" s="2">
        <v>72</v>
      </c>
      <c r="I914" s="2">
        <v>360</v>
      </c>
      <c r="J914" s="2">
        <v>276.39</v>
      </c>
      <c r="K914" s="2">
        <v>83.61</v>
      </c>
      <c r="L914" t="s">
        <v>17</v>
      </c>
    </row>
    <row r="915" spans="1:12" x14ac:dyDescent="0.35">
      <c r="A915" t="s">
        <v>1224</v>
      </c>
      <c r="B915">
        <v>45360</v>
      </c>
      <c r="C915" t="s">
        <v>581</v>
      </c>
      <c r="D915" t="s">
        <v>42</v>
      </c>
      <c r="E915" t="s">
        <v>33</v>
      </c>
      <c r="F915" t="s">
        <v>92</v>
      </c>
      <c r="G915">
        <v>3</v>
      </c>
      <c r="H915" s="2">
        <v>39</v>
      </c>
      <c r="I915" s="2">
        <v>117</v>
      </c>
      <c r="J915" s="2">
        <v>79.08</v>
      </c>
      <c r="K915" s="2">
        <v>37.92</v>
      </c>
      <c r="L915" t="s">
        <v>21</v>
      </c>
    </row>
    <row r="916" spans="1:12" x14ac:dyDescent="0.35">
      <c r="A916" t="s">
        <v>1225</v>
      </c>
      <c r="B916">
        <v>45512</v>
      </c>
      <c r="C916" t="s">
        <v>751</v>
      </c>
      <c r="D916" t="s">
        <v>14</v>
      </c>
      <c r="E916" t="s">
        <v>38</v>
      </c>
      <c r="F916" t="s">
        <v>58</v>
      </c>
      <c r="G916">
        <v>3</v>
      </c>
      <c r="H916" s="2">
        <v>85</v>
      </c>
      <c r="I916" s="2">
        <v>255</v>
      </c>
      <c r="J916" s="2">
        <v>162.9</v>
      </c>
      <c r="K916" s="2">
        <v>92.1</v>
      </c>
      <c r="L916" t="s">
        <v>21</v>
      </c>
    </row>
    <row r="917" spans="1:12" x14ac:dyDescent="0.35">
      <c r="A917" t="s">
        <v>1226</v>
      </c>
      <c r="B917">
        <v>45585</v>
      </c>
      <c r="C917" t="s">
        <v>810</v>
      </c>
      <c r="D917" t="s">
        <v>28</v>
      </c>
      <c r="E917" t="s">
        <v>15</v>
      </c>
      <c r="F917" t="s">
        <v>16</v>
      </c>
      <c r="G917">
        <v>1</v>
      </c>
      <c r="H917" s="2">
        <v>24</v>
      </c>
      <c r="I917" s="2">
        <v>24</v>
      </c>
      <c r="J917" s="2">
        <v>14.28</v>
      </c>
      <c r="K917" s="2">
        <v>9.7200000000000006</v>
      </c>
      <c r="L917" t="s">
        <v>21</v>
      </c>
    </row>
    <row r="918" spans="1:12" x14ac:dyDescent="0.35">
      <c r="A918" t="s">
        <v>1227</v>
      </c>
      <c r="B918">
        <v>45585</v>
      </c>
      <c r="C918" t="s">
        <v>861</v>
      </c>
      <c r="D918" t="s">
        <v>28</v>
      </c>
      <c r="E918" t="s">
        <v>15</v>
      </c>
      <c r="F918" t="s">
        <v>20</v>
      </c>
      <c r="G918">
        <v>5</v>
      </c>
      <c r="H918" s="2">
        <v>81</v>
      </c>
      <c r="I918" s="2">
        <v>405</v>
      </c>
      <c r="J918" s="2">
        <v>312.64</v>
      </c>
      <c r="K918" s="2">
        <v>92.36</v>
      </c>
      <c r="L918" t="s">
        <v>35</v>
      </c>
    </row>
    <row r="919" spans="1:12" x14ac:dyDescent="0.35">
      <c r="A919" t="s">
        <v>1228</v>
      </c>
      <c r="B919">
        <v>45317</v>
      </c>
      <c r="C919" t="s">
        <v>766</v>
      </c>
      <c r="D919" t="s">
        <v>28</v>
      </c>
      <c r="E919" t="s">
        <v>38</v>
      </c>
      <c r="F919" t="s">
        <v>58</v>
      </c>
      <c r="G919">
        <v>5</v>
      </c>
      <c r="H919" s="2">
        <v>12</v>
      </c>
      <c r="I919" s="2">
        <v>60</v>
      </c>
      <c r="J919" s="2">
        <v>42.37</v>
      </c>
      <c r="K919" s="2">
        <v>17.63</v>
      </c>
      <c r="L919" t="s">
        <v>35</v>
      </c>
    </row>
    <row r="920" spans="1:12" x14ac:dyDescent="0.35">
      <c r="A920" t="s">
        <v>1229</v>
      </c>
      <c r="B920">
        <v>45531</v>
      </c>
      <c r="C920" t="s">
        <v>1143</v>
      </c>
      <c r="D920" t="s">
        <v>42</v>
      </c>
      <c r="E920" t="s">
        <v>15</v>
      </c>
      <c r="F920" t="s">
        <v>16</v>
      </c>
      <c r="G920">
        <v>3</v>
      </c>
      <c r="H920" s="2">
        <v>82</v>
      </c>
      <c r="I920" s="2">
        <v>246</v>
      </c>
      <c r="J920" s="2">
        <v>178.54</v>
      </c>
      <c r="K920" s="2">
        <v>67.459999999999994</v>
      </c>
      <c r="L920" t="s">
        <v>21</v>
      </c>
    </row>
    <row r="921" spans="1:12" x14ac:dyDescent="0.35">
      <c r="A921" t="s">
        <v>1230</v>
      </c>
      <c r="B921">
        <v>45559</v>
      </c>
      <c r="C921" t="s">
        <v>177</v>
      </c>
      <c r="D921" t="s">
        <v>24</v>
      </c>
      <c r="E921" t="s">
        <v>29</v>
      </c>
      <c r="F921" t="s">
        <v>47</v>
      </c>
      <c r="G921">
        <v>1</v>
      </c>
      <c r="H921" s="2">
        <v>21</v>
      </c>
      <c r="I921" s="2">
        <v>21</v>
      </c>
      <c r="J921" s="2">
        <v>16.3</v>
      </c>
      <c r="K921" s="2">
        <v>4.7</v>
      </c>
      <c r="L921" t="s">
        <v>17</v>
      </c>
    </row>
    <row r="922" spans="1:12" x14ac:dyDescent="0.35">
      <c r="A922" t="s">
        <v>1231</v>
      </c>
      <c r="B922">
        <v>45461</v>
      </c>
      <c r="C922" t="s">
        <v>286</v>
      </c>
      <c r="D922" t="s">
        <v>28</v>
      </c>
      <c r="E922" t="s">
        <v>38</v>
      </c>
      <c r="F922" t="s">
        <v>39</v>
      </c>
      <c r="G922">
        <v>3</v>
      </c>
      <c r="H922" s="2">
        <v>44</v>
      </c>
      <c r="I922" s="2">
        <v>132</v>
      </c>
      <c r="J922" s="2">
        <v>78.94</v>
      </c>
      <c r="K922" s="2">
        <v>53.06</v>
      </c>
      <c r="L922" t="s">
        <v>21</v>
      </c>
    </row>
    <row r="923" spans="1:12" x14ac:dyDescent="0.35">
      <c r="A923" t="s">
        <v>1232</v>
      </c>
      <c r="B923">
        <v>45653</v>
      </c>
      <c r="C923" t="s">
        <v>746</v>
      </c>
      <c r="D923" t="s">
        <v>28</v>
      </c>
      <c r="E923" t="s">
        <v>33</v>
      </c>
      <c r="F923" t="s">
        <v>55</v>
      </c>
      <c r="G923">
        <v>4</v>
      </c>
      <c r="H923" s="2">
        <v>69</v>
      </c>
      <c r="I923" s="2">
        <v>276</v>
      </c>
      <c r="J923" s="2">
        <v>194.71</v>
      </c>
      <c r="K923" s="2">
        <v>81.290000000000006</v>
      </c>
      <c r="L923" t="s">
        <v>21</v>
      </c>
    </row>
    <row r="924" spans="1:12" x14ac:dyDescent="0.35">
      <c r="A924" t="s">
        <v>1233</v>
      </c>
      <c r="B924">
        <v>45567</v>
      </c>
      <c r="C924" t="s">
        <v>590</v>
      </c>
      <c r="D924" t="s">
        <v>14</v>
      </c>
      <c r="E924" t="s">
        <v>15</v>
      </c>
      <c r="F924" t="s">
        <v>25</v>
      </c>
      <c r="G924">
        <v>1</v>
      </c>
      <c r="H924" s="2">
        <v>59</v>
      </c>
      <c r="I924" s="2">
        <v>59</v>
      </c>
      <c r="J924" s="2">
        <v>46.47</v>
      </c>
      <c r="K924" s="2">
        <v>12.53</v>
      </c>
      <c r="L924" t="s">
        <v>21</v>
      </c>
    </row>
    <row r="925" spans="1:12" x14ac:dyDescent="0.35">
      <c r="A925" t="s">
        <v>1234</v>
      </c>
      <c r="B925">
        <v>45315</v>
      </c>
      <c r="C925" t="s">
        <v>1235</v>
      </c>
      <c r="D925" t="s">
        <v>42</v>
      </c>
      <c r="E925" t="s">
        <v>38</v>
      </c>
      <c r="F925" t="s">
        <v>58</v>
      </c>
      <c r="G925">
        <v>2</v>
      </c>
      <c r="H925" s="2">
        <v>59</v>
      </c>
      <c r="I925" s="2">
        <v>118</v>
      </c>
      <c r="J925" s="2">
        <v>82.28</v>
      </c>
      <c r="K925" s="2">
        <v>35.72</v>
      </c>
      <c r="L925" t="s">
        <v>35</v>
      </c>
    </row>
    <row r="926" spans="1:12" x14ac:dyDescent="0.35">
      <c r="A926" t="s">
        <v>1236</v>
      </c>
      <c r="B926">
        <v>45631</v>
      </c>
      <c r="C926" t="s">
        <v>572</v>
      </c>
      <c r="D926" t="s">
        <v>14</v>
      </c>
      <c r="E926" t="s">
        <v>29</v>
      </c>
      <c r="F926" t="s">
        <v>47</v>
      </c>
      <c r="G926">
        <v>5</v>
      </c>
      <c r="H926" s="2">
        <v>94</v>
      </c>
      <c r="I926" s="2">
        <v>470</v>
      </c>
      <c r="J926" s="2">
        <v>340.65</v>
      </c>
      <c r="K926" s="2">
        <v>129.35</v>
      </c>
      <c r="L926" t="s">
        <v>17</v>
      </c>
    </row>
    <row r="927" spans="1:12" x14ac:dyDescent="0.35">
      <c r="A927" t="s">
        <v>1237</v>
      </c>
      <c r="B927">
        <v>45327</v>
      </c>
      <c r="C927" t="s">
        <v>483</v>
      </c>
      <c r="D927" t="s">
        <v>14</v>
      </c>
      <c r="E927" t="s">
        <v>29</v>
      </c>
      <c r="F927" t="s">
        <v>43</v>
      </c>
      <c r="G927">
        <v>4</v>
      </c>
      <c r="H927" s="2">
        <v>77</v>
      </c>
      <c r="I927" s="2">
        <v>308</v>
      </c>
      <c r="J927" s="2">
        <v>170.71</v>
      </c>
      <c r="K927" s="2">
        <v>137.29</v>
      </c>
      <c r="L927" t="s">
        <v>17</v>
      </c>
    </row>
    <row r="928" spans="1:12" x14ac:dyDescent="0.35">
      <c r="A928" t="s">
        <v>1238</v>
      </c>
      <c r="B928">
        <v>45454</v>
      </c>
      <c r="C928" t="s">
        <v>434</v>
      </c>
      <c r="D928" t="s">
        <v>14</v>
      </c>
      <c r="E928" t="s">
        <v>15</v>
      </c>
      <c r="F928" t="s">
        <v>25</v>
      </c>
      <c r="G928">
        <v>5</v>
      </c>
      <c r="H928" s="2">
        <v>92</v>
      </c>
      <c r="I928" s="2">
        <v>460</v>
      </c>
      <c r="J928" s="2">
        <v>233.27</v>
      </c>
      <c r="K928" s="2">
        <v>226.73</v>
      </c>
      <c r="L928" t="s">
        <v>44</v>
      </c>
    </row>
    <row r="929" spans="1:12" x14ac:dyDescent="0.35">
      <c r="A929" t="s">
        <v>1239</v>
      </c>
      <c r="B929">
        <v>45408</v>
      </c>
      <c r="C929" t="s">
        <v>533</v>
      </c>
      <c r="D929" t="s">
        <v>42</v>
      </c>
      <c r="E929" t="s">
        <v>38</v>
      </c>
      <c r="F929" t="s">
        <v>52</v>
      </c>
      <c r="G929">
        <v>1</v>
      </c>
      <c r="H929" s="2">
        <v>91</v>
      </c>
      <c r="I929" s="2">
        <v>91</v>
      </c>
      <c r="J929" s="2">
        <v>51.84</v>
      </c>
      <c r="K929" s="2">
        <v>39.159999999999997</v>
      </c>
      <c r="L929" t="s">
        <v>21</v>
      </c>
    </row>
    <row r="930" spans="1:12" x14ac:dyDescent="0.35">
      <c r="A930" t="s">
        <v>1240</v>
      </c>
      <c r="B930">
        <v>45527</v>
      </c>
      <c r="C930" t="s">
        <v>1241</v>
      </c>
      <c r="D930" t="s">
        <v>28</v>
      </c>
      <c r="E930" t="s">
        <v>38</v>
      </c>
      <c r="F930" t="s">
        <v>39</v>
      </c>
      <c r="G930">
        <v>4</v>
      </c>
      <c r="H930" s="2">
        <v>22</v>
      </c>
      <c r="I930" s="2">
        <v>88</v>
      </c>
      <c r="J930" s="2">
        <v>49.82</v>
      </c>
      <c r="K930" s="2">
        <v>38.18</v>
      </c>
      <c r="L930" t="s">
        <v>17</v>
      </c>
    </row>
    <row r="931" spans="1:12" x14ac:dyDescent="0.35">
      <c r="A931" t="s">
        <v>1242</v>
      </c>
      <c r="B931">
        <v>45397</v>
      </c>
      <c r="C931" t="s">
        <v>570</v>
      </c>
      <c r="D931" t="s">
        <v>14</v>
      </c>
      <c r="E931" t="s">
        <v>29</v>
      </c>
      <c r="F931" t="s">
        <v>47</v>
      </c>
      <c r="G931">
        <v>1</v>
      </c>
      <c r="H931" s="2">
        <v>15</v>
      </c>
      <c r="I931" s="2">
        <v>15</v>
      </c>
      <c r="J931" s="2">
        <v>10.78</v>
      </c>
      <c r="K931" s="2">
        <v>4.22</v>
      </c>
      <c r="L931" t="s">
        <v>35</v>
      </c>
    </row>
    <row r="932" spans="1:12" x14ac:dyDescent="0.35">
      <c r="A932" t="s">
        <v>1243</v>
      </c>
      <c r="B932">
        <v>45323</v>
      </c>
      <c r="C932" t="s">
        <v>153</v>
      </c>
      <c r="D932" t="s">
        <v>24</v>
      </c>
      <c r="E932" t="s">
        <v>29</v>
      </c>
      <c r="F932" t="s">
        <v>43</v>
      </c>
      <c r="G932">
        <v>1</v>
      </c>
      <c r="H932" s="2">
        <v>50</v>
      </c>
      <c r="I932" s="2">
        <v>50</v>
      </c>
      <c r="J932" s="2">
        <v>36.380000000000003</v>
      </c>
      <c r="K932" s="2">
        <v>13.62</v>
      </c>
      <c r="L932" t="s">
        <v>35</v>
      </c>
    </row>
    <row r="933" spans="1:12" x14ac:dyDescent="0.35">
      <c r="A933" t="s">
        <v>1244</v>
      </c>
      <c r="B933">
        <v>45424</v>
      </c>
      <c r="C933" t="s">
        <v>1245</v>
      </c>
      <c r="D933" t="s">
        <v>14</v>
      </c>
      <c r="E933" t="s">
        <v>33</v>
      </c>
      <c r="F933" t="s">
        <v>34</v>
      </c>
      <c r="G933">
        <v>4</v>
      </c>
      <c r="H933" s="2">
        <v>93</v>
      </c>
      <c r="I933" s="2">
        <v>372</v>
      </c>
      <c r="J933" s="2">
        <v>279.39999999999998</v>
      </c>
      <c r="K933" s="2">
        <v>92.6</v>
      </c>
      <c r="L933" t="s">
        <v>21</v>
      </c>
    </row>
    <row r="934" spans="1:12" x14ac:dyDescent="0.35">
      <c r="A934" t="s">
        <v>1246</v>
      </c>
      <c r="B934">
        <v>45444</v>
      </c>
      <c r="C934" t="s">
        <v>502</v>
      </c>
      <c r="D934" t="s">
        <v>14</v>
      </c>
      <c r="E934" t="s">
        <v>15</v>
      </c>
      <c r="F934" t="s">
        <v>25</v>
      </c>
      <c r="G934">
        <v>4</v>
      </c>
      <c r="H934" s="2">
        <v>15</v>
      </c>
      <c r="I934" s="2">
        <v>60</v>
      </c>
      <c r="J934" s="2">
        <v>45.34</v>
      </c>
      <c r="K934" s="2">
        <v>14.66</v>
      </c>
      <c r="L934" t="s">
        <v>44</v>
      </c>
    </row>
    <row r="935" spans="1:12" x14ac:dyDescent="0.35">
      <c r="A935" t="s">
        <v>1247</v>
      </c>
      <c r="B935">
        <v>45576</v>
      </c>
      <c r="C935" t="s">
        <v>284</v>
      </c>
      <c r="D935" t="s">
        <v>24</v>
      </c>
      <c r="E935" t="s">
        <v>38</v>
      </c>
      <c r="F935" t="s">
        <v>39</v>
      </c>
      <c r="G935">
        <v>2</v>
      </c>
      <c r="H935" s="2">
        <v>52</v>
      </c>
      <c r="I935" s="2">
        <v>104</v>
      </c>
      <c r="J935" s="2">
        <v>70.39</v>
      </c>
      <c r="K935" s="2">
        <v>33.61</v>
      </c>
      <c r="L935" t="s">
        <v>44</v>
      </c>
    </row>
    <row r="936" spans="1:12" x14ac:dyDescent="0.35">
      <c r="A936" t="s">
        <v>1248</v>
      </c>
      <c r="B936">
        <v>45424</v>
      </c>
      <c r="C936" t="s">
        <v>751</v>
      </c>
      <c r="D936" t="s">
        <v>42</v>
      </c>
      <c r="E936" t="s">
        <v>15</v>
      </c>
      <c r="F936" t="s">
        <v>25</v>
      </c>
      <c r="G936">
        <v>1</v>
      </c>
      <c r="H936" s="2">
        <v>56</v>
      </c>
      <c r="I936" s="2">
        <v>56</v>
      </c>
      <c r="J936" s="2">
        <v>38.9</v>
      </c>
      <c r="K936" s="2">
        <v>17.100000000000001</v>
      </c>
      <c r="L936" t="s">
        <v>44</v>
      </c>
    </row>
    <row r="937" spans="1:12" x14ac:dyDescent="0.35">
      <c r="A937" t="s">
        <v>1249</v>
      </c>
      <c r="B937">
        <v>45397</v>
      </c>
      <c r="C937" t="s">
        <v>1190</v>
      </c>
      <c r="D937" t="s">
        <v>14</v>
      </c>
      <c r="E937" t="s">
        <v>29</v>
      </c>
      <c r="F937" t="s">
        <v>43</v>
      </c>
      <c r="G937">
        <v>2</v>
      </c>
      <c r="H937" s="2">
        <v>19</v>
      </c>
      <c r="I937" s="2">
        <v>38</v>
      </c>
      <c r="J937" s="2">
        <v>25.95</v>
      </c>
      <c r="K937" s="2">
        <v>12.05</v>
      </c>
      <c r="L937" t="s">
        <v>44</v>
      </c>
    </row>
    <row r="938" spans="1:12" x14ac:dyDescent="0.35">
      <c r="A938" t="s">
        <v>1250</v>
      </c>
      <c r="B938">
        <v>45429</v>
      </c>
      <c r="C938" t="s">
        <v>383</v>
      </c>
      <c r="D938" t="s">
        <v>24</v>
      </c>
      <c r="E938" t="s">
        <v>33</v>
      </c>
      <c r="F938" t="s">
        <v>92</v>
      </c>
      <c r="G938">
        <v>1</v>
      </c>
      <c r="H938" s="2">
        <v>72</v>
      </c>
      <c r="I938" s="2">
        <v>72</v>
      </c>
      <c r="J938" s="2">
        <v>51.6</v>
      </c>
      <c r="K938" s="2">
        <v>20.399999999999999</v>
      </c>
      <c r="L938" t="s">
        <v>17</v>
      </c>
    </row>
    <row r="939" spans="1:12" x14ac:dyDescent="0.35">
      <c r="A939" t="s">
        <v>1251</v>
      </c>
      <c r="B939">
        <v>45507</v>
      </c>
      <c r="C939" t="s">
        <v>163</v>
      </c>
      <c r="D939" t="s">
        <v>24</v>
      </c>
      <c r="E939" t="s">
        <v>29</v>
      </c>
      <c r="F939" t="s">
        <v>30</v>
      </c>
      <c r="G939">
        <v>1</v>
      </c>
      <c r="H939" s="2">
        <v>30</v>
      </c>
      <c r="I939" s="2">
        <v>30</v>
      </c>
      <c r="J939" s="2">
        <v>23.62</v>
      </c>
      <c r="K939" s="2">
        <v>6.38</v>
      </c>
      <c r="L939" t="s">
        <v>35</v>
      </c>
    </row>
    <row r="940" spans="1:12" x14ac:dyDescent="0.35">
      <c r="A940" t="s">
        <v>1252</v>
      </c>
      <c r="B940">
        <v>45475</v>
      </c>
      <c r="C940" t="s">
        <v>326</v>
      </c>
      <c r="D940" t="s">
        <v>42</v>
      </c>
      <c r="E940" t="s">
        <v>29</v>
      </c>
      <c r="F940" t="s">
        <v>30</v>
      </c>
      <c r="G940">
        <v>3</v>
      </c>
      <c r="H940" s="2">
        <v>80</v>
      </c>
      <c r="I940" s="2">
        <v>240</v>
      </c>
      <c r="J940" s="2">
        <v>128.22999999999999</v>
      </c>
      <c r="K940" s="2">
        <v>111.77</v>
      </c>
      <c r="L940" t="s">
        <v>44</v>
      </c>
    </row>
    <row r="941" spans="1:12" x14ac:dyDescent="0.35">
      <c r="A941" t="s">
        <v>1253</v>
      </c>
      <c r="B941">
        <v>45557</v>
      </c>
      <c r="C941" t="s">
        <v>428</v>
      </c>
      <c r="D941" t="s">
        <v>28</v>
      </c>
      <c r="E941" t="s">
        <v>38</v>
      </c>
      <c r="F941" t="s">
        <v>58</v>
      </c>
      <c r="G941">
        <v>3</v>
      </c>
      <c r="H941" s="2">
        <v>60</v>
      </c>
      <c r="I941" s="2">
        <v>180</v>
      </c>
      <c r="J941" s="2">
        <v>126.77</v>
      </c>
      <c r="K941" s="2">
        <v>53.23</v>
      </c>
      <c r="L941" t="s">
        <v>44</v>
      </c>
    </row>
    <row r="942" spans="1:12" x14ac:dyDescent="0.35">
      <c r="A942" t="s">
        <v>1254</v>
      </c>
      <c r="B942">
        <v>45606</v>
      </c>
      <c r="C942" t="s">
        <v>140</v>
      </c>
      <c r="D942" t="s">
        <v>14</v>
      </c>
      <c r="E942" t="s">
        <v>33</v>
      </c>
      <c r="F942" t="s">
        <v>34</v>
      </c>
      <c r="G942">
        <v>2</v>
      </c>
      <c r="H942" s="2">
        <v>34</v>
      </c>
      <c r="I942" s="2">
        <v>68</v>
      </c>
      <c r="J942" s="2">
        <v>40.729999999999997</v>
      </c>
      <c r="K942" s="2">
        <v>27.27</v>
      </c>
      <c r="L942" t="s">
        <v>21</v>
      </c>
    </row>
    <row r="943" spans="1:12" x14ac:dyDescent="0.35">
      <c r="A943" t="s">
        <v>1255</v>
      </c>
      <c r="B943">
        <v>45438</v>
      </c>
      <c r="C943" t="s">
        <v>689</v>
      </c>
      <c r="D943" t="s">
        <v>14</v>
      </c>
      <c r="E943" t="s">
        <v>15</v>
      </c>
      <c r="F943" t="s">
        <v>16</v>
      </c>
      <c r="G943">
        <v>2</v>
      </c>
      <c r="H943" s="2">
        <v>22</v>
      </c>
      <c r="I943" s="2">
        <v>44</v>
      </c>
      <c r="J943" s="2">
        <v>23.36</v>
      </c>
      <c r="K943" s="2">
        <v>20.64</v>
      </c>
      <c r="L943" t="s">
        <v>44</v>
      </c>
    </row>
    <row r="944" spans="1:12" x14ac:dyDescent="0.35">
      <c r="A944" t="s">
        <v>1256</v>
      </c>
      <c r="B944">
        <v>45649</v>
      </c>
      <c r="C944" t="s">
        <v>872</v>
      </c>
      <c r="D944" t="s">
        <v>14</v>
      </c>
      <c r="E944" t="s">
        <v>38</v>
      </c>
      <c r="F944" t="s">
        <v>58</v>
      </c>
      <c r="G944">
        <v>1</v>
      </c>
      <c r="H944" s="2">
        <v>26</v>
      </c>
      <c r="I944" s="2">
        <v>26</v>
      </c>
      <c r="J944" s="2">
        <v>20.55</v>
      </c>
      <c r="K944" s="2">
        <v>5.45</v>
      </c>
      <c r="L944" t="s">
        <v>44</v>
      </c>
    </row>
    <row r="945" spans="1:12" x14ac:dyDescent="0.35">
      <c r="A945" t="s">
        <v>1257</v>
      </c>
      <c r="B945">
        <v>45650</v>
      </c>
      <c r="C945" t="s">
        <v>19</v>
      </c>
      <c r="D945" t="s">
        <v>42</v>
      </c>
      <c r="E945" t="s">
        <v>38</v>
      </c>
      <c r="F945" t="s">
        <v>52</v>
      </c>
      <c r="G945">
        <v>5</v>
      </c>
      <c r="H945" s="2">
        <v>40</v>
      </c>
      <c r="I945" s="2">
        <v>200</v>
      </c>
      <c r="J945" s="2">
        <v>134.96</v>
      </c>
      <c r="K945" s="2">
        <v>65.040000000000006</v>
      </c>
      <c r="L945" t="s">
        <v>21</v>
      </c>
    </row>
    <row r="946" spans="1:12" x14ac:dyDescent="0.35">
      <c r="A946" t="s">
        <v>1258</v>
      </c>
      <c r="B946">
        <v>45558</v>
      </c>
      <c r="C946" t="s">
        <v>340</v>
      </c>
      <c r="D946" t="s">
        <v>14</v>
      </c>
      <c r="E946" t="s">
        <v>38</v>
      </c>
      <c r="F946" t="s">
        <v>58</v>
      </c>
      <c r="G946">
        <v>5</v>
      </c>
      <c r="H946" s="2">
        <v>26</v>
      </c>
      <c r="I946" s="2">
        <v>130</v>
      </c>
      <c r="J946" s="2">
        <v>65.95</v>
      </c>
      <c r="K946" s="2">
        <v>64.05</v>
      </c>
      <c r="L946" t="s">
        <v>17</v>
      </c>
    </row>
    <row r="947" spans="1:12" x14ac:dyDescent="0.35">
      <c r="A947" t="s">
        <v>1259</v>
      </c>
      <c r="B947">
        <v>45434</v>
      </c>
      <c r="C947" t="s">
        <v>179</v>
      </c>
      <c r="D947" t="s">
        <v>24</v>
      </c>
      <c r="E947" t="s">
        <v>33</v>
      </c>
      <c r="F947" t="s">
        <v>34</v>
      </c>
      <c r="G947">
        <v>1</v>
      </c>
      <c r="H947" s="2">
        <v>72</v>
      </c>
      <c r="I947" s="2">
        <v>72</v>
      </c>
      <c r="J947" s="2">
        <v>44.95</v>
      </c>
      <c r="K947" s="2">
        <v>27.05</v>
      </c>
      <c r="L947" t="s">
        <v>35</v>
      </c>
    </row>
    <row r="948" spans="1:12" x14ac:dyDescent="0.35">
      <c r="A948" t="s">
        <v>1260</v>
      </c>
      <c r="B948">
        <v>45492</v>
      </c>
      <c r="C948" t="s">
        <v>861</v>
      </c>
      <c r="D948" t="s">
        <v>28</v>
      </c>
      <c r="E948" t="s">
        <v>15</v>
      </c>
      <c r="F948" t="s">
        <v>20</v>
      </c>
      <c r="G948">
        <v>1</v>
      </c>
      <c r="H948" s="2">
        <v>39</v>
      </c>
      <c r="I948" s="2">
        <v>39</v>
      </c>
      <c r="J948" s="2">
        <v>31.15</v>
      </c>
      <c r="K948" s="2">
        <v>7.85</v>
      </c>
      <c r="L948" t="s">
        <v>17</v>
      </c>
    </row>
    <row r="949" spans="1:12" x14ac:dyDescent="0.35">
      <c r="A949" t="s">
        <v>1261</v>
      </c>
      <c r="B949">
        <v>45429</v>
      </c>
      <c r="C949" t="s">
        <v>251</v>
      </c>
      <c r="D949" t="s">
        <v>14</v>
      </c>
      <c r="E949" t="s">
        <v>29</v>
      </c>
      <c r="F949" t="s">
        <v>75</v>
      </c>
      <c r="G949">
        <v>1</v>
      </c>
      <c r="H949" s="2">
        <v>78</v>
      </c>
      <c r="I949" s="2">
        <v>78</v>
      </c>
      <c r="J949" s="2">
        <v>61.55</v>
      </c>
      <c r="K949" s="2">
        <v>16.45</v>
      </c>
      <c r="L949" t="s">
        <v>21</v>
      </c>
    </row>
    <row r="950" spans="1:12" x14ac:dyDescent="0.35">
      <c r="A950" t="s">
        <v>1262</v>
      </c>
      <c r="B950">
        <v>45320</v>
      </c>
      <c r="C950" t="s">
        <v>1263</v>
      </c>
      <c r="D950" t="s">
        <v>28</v>
      </c>
      <c r="E950" t="s">
        <v>33</v>
      </c>
      <c r="F950" t="s">
        <v>92</v>
      </c>
      <c r="G950">
        <v>3</v>
      </c>
      <c r="H950" s="2">
        <v>99</v>
      </c>
      <c r="I950" s="2">
        <v>297</v>
      </c>
      <c r="J950" s="2">
        <v>153.94</v>
      </c>
      <c r="K950" s="2">
        <v>143.06</v>
      </c>
      <c r="L950" t="s">
        <v>21</v>
      </c>
    </row>
    <row r="951" spans="1:12" x14ac:dyDescent="0.35">
      <c r="A951" t="s">
        <v>1264</v>
      </c>
      <c r="B951">
        <v>45432</v>
      </c>
      <c r="C951" t="s">
        <v>19</v>
      </c>
      <c r="D951" t="s">
        <v>42</v>
      </c>
      <c r="E951" t="s">
        <v>15</v>
      </c>
      <c r="F951" t="s">
        <v>16</v>
      </c>
      <c r="G951">
        <v>2</v>
      </c>
      <c r="H951" s="2">
        <v>98</v>
      </c>
      <c r="I951" s="2">
        <v>196</v>
      </c>
      <c r="J951" s="2">
        <v>100.45</v>
      </c>
      <c r="K951" s="2">
        <v>95.55</v>
      </c>
      <c r="L951" t="s">
        <v>21</v>
      </c>
    </row>
    <row r="952" spans="1:12" x14ac:dyDescent="0.35">
      <c r="A952" t="s">
        <v>1265</v>
      </c>
      <c r="B952">
        <v>45373</v>
      </c>
      <c r="C952" t="s">
        <v>1021</v>
      </c>
      <c r="D952" t="s">
        <v>42</v>
      </c>
      <c r="E952" t="s">
        <v>15</v>
      </c>
      <c r="F952" t="s">
        <v>16</v>
      </c>
      <c r="G952">
        <v>3</v>
      </c>
      <c r="H952" s="2">
        <v>61</v>
      </c>
      <c r="I952" s="2">
        <v>183</v>
      </c>
      <c r="J952" s="2">
        <v>107.54</v>
      </c>
      <c r="K952" s="2">
        <v>75.459999999999994</v>
      </c>
      <c r="L952" t="s">
        <v>17</v>
      </c>
    </row>
    <row r="953" spans="1:12" x14ac:dyDescent="0.35">
      <c r="A953" t="s">
        <v>1266</v>
      </c>
      <c r="B953">
        <v>45653</v>
      </c>
      <c r="C953" t="s">
        <v>1120</v>
      </c>
      <c r="D953" t="s">
        <v>28</v>
      </c>
      <c r="E953" t="s">
        <v>38</v>
      </c>
      <c r="F953" t="s">
        <v>58</v>
      </c>
      <c r="G953">
        <v>4</v>
      </c>
      <c r="H953" s="2">
        <v>93</v>
      </c>
      <c r="I953" s="2">
        <v>372</v>
      </c>
      <c r="J953" s="2">
        <v>276.01</v>
      </c>
      <c r="K953" s="2">
        <v>95.99</v>
      </c>
      <c r="L953" t="s">
        <v>35</v>
      </c>
    </row>
    <row r="954" spans="1:12" x14ac:dyDescent="0.35">
      <c r="A954" t="s">
        <v>1267</v>
      </c>
      <c r="B954">
        <v>45425</v>
      </c>
      <c r="C954" t="s">
        <v>516</v>
      </c>
      <c r="D954" t="s">
        <v>42</v>
      </c>
      <c r="E954" t="s">
        <v>33</v>
      </c>
      <c r="F954" t="s">
        <v>34</v>
      </c>
      <c r="G954">
        <v>4</v>
      </c>
      <c r="H954" s="2">
        <v>38</v>
      </c>
      <c r="I954" s="2">
        <v>152</v>
      </c>
      <c r="J954" s="2">
        <v>83</v>
      </c>
      <c r="K954" s="2">
        <v>69</v>
      </c>
      <c r="L954" t="s">
        <v>35</v>
      </c>
    </row>
    <row r="955" spans="1:12" x14ac:dyDescent="0.35">
      <c r="A955" t="s">
        <v>1268</v>
      </c>
      <c r="B955">
        <v>45620</v>
      </c>
      <c r="C955" t="s">
        <v>13</v>
      </c>
      <c r="D955" t="s">
        <v>42</v>
      </c>
      <c r="E955" t="s">
        <v>15</v>
      </c>
      <c r="F955" t="s">
        <v>25</v>
      </c>
      <c r="G955">
        <v>4</v>
      </c>
      <c r="H955" s="2">
        <v>33</v>
      </c>
      <c r="I955" s="2">
        <v>132</v>
      </c>
      <c r="J955" s="2">
        <v>104.17</v>
      </c>
      <c r="K955" s="2">
        <v>27.83</v>
      </c>
      <c r="L955" t="s">
        <v>17</v>
      </c>
    </row>
    <row r="956" spans="1:12" x14ac:dyDescent="0.35">
      <c r="A956" t="s">
        <v>1269</v>
      </c>
      <c r="B956">
        <v>45413</v>
      </c>
      <c r="C956" t="s">
        <v>568</v>
      </c>
      <c r="D956" t="s">
        <v>24</v>
      </c>
      <c r="E956" t="s">
        <v>33</v>
      </c>
      <c r="F956" t="s">
        <v>34</v>
      </c>
      <c r="G956">
        <v>3</v>
      </c>
      <c r="H956" s="2">
        <v>10</v>
      </c>
      <c r="I956" s="2">
        <v>30</v>
      </c>
      <c r="J956" s="2">
        <v>17.45</v>
      </c>
      <c r="K956" s="2">
        <v>12.55</v>
      </c>
      <c r="L956" t="s">
        <v>17</v>
      </c>
    </row>
    <row r="957" spans="1:12" x14ac:dyDescent="0.35">
      <c r="A957" t="s">
        <v>1270</v>
      </c>
      <c r="B957">
        <v>45396</v>
      </c>
      <c r="C957" t="s">
        <v>286</v>
      </c>
      <c r="D957" t="s">
        <v>14</v>
      </c>
      <c r="E957" t="s">
        <v>29</v>
      </c>
      <c r="F957" t="s">
        <v>75</v>
      </c>
      <c r="G957">
        <v>2</v>
      </c>
      <c r="H957" s="2">
        <v>19</v>
      </c>
      <c r="I957" s="2">
        <v>38</v>
      </c>
      <c r="J957" s="2">
        <v>25.63</v>
      </c>
      <c r="K957" s="2">
        <v>12.37</v>
      </c>
      <c r="L957" t="s">
        <v>44</v>
      </c>
    </row>
    <row r="958" spans="1:12" x14ac:dyDescent="0.35">
      <c r="A958" t="s">
        <v>1271</v>
      </c>
      <c r="B958">
        <v>45394</v>
      </c>
      <c r="C958" t="s">
        <v>1202</v>
      </c>
      <c r="D958" t="s">
        <v>42</v>
      </c>
      <c r="E958" t="s">
        <v>38</v>
      </c>
      <c r="F958" t="s">
        <v>52</v>
      </c>
      <c r="G958">
        <v>4</v>
      </c>
      <c r="H958" s="2">
        <v>19</v>
      </c>
      <c r="I958" s="2">
        <v>76</v>
      </c>
      <c r="J958" s="2">
        <v>44.8</v>
      </c>
      <c r="K958" s="2">
        <v>31.2</v>
      </c>
      <c r="L958" t="s">
        <v>21</v>
      </c>
    </row>
    <row r="959" spans="1:12" x14ac:dyDescent="0.35">
      <c r="A959" t="s">
        <v>1272</v>
      </c>
      <c r="B959">
        <v>45429</v>
      </c>
      <c r="C959" t="s">
        <v>326</v>
      </c>
      <c r="D959" t="s">
        <v>42</v>
      </c>
      <c r="E959" t="s">
        <v>29</v>
      </c>
      <c r="F959" t="s">
        <v>43</v>
      </c>
      <c r="G959">
        <v>2</v>
      </c>
      <c r="H959" s="2">
        <v>69</v>
      </c>
      <c r="I959" s="2">
        <v>138</v>
      </c>
      <c r="J959" s="2">
        <v>109.33</v>
      </c>
      <c r="K959" s="2">
        <v>28.67</v>
      </c>
      <c r="L959" t="s">
        <v>35</v>
      </c>
    </row>
    <row r="960" spans="1:12" x14ac:dyDescent="0.35">
      <c r="A960" t="s">
        <v>1273</v>
      </c>
      <c r="B960">
        <v>45519</v>
      </c>
      <c r="C960" t="s">
        <v>32</v>
      </c>
      <c r="D960" t="s">
        <v>28</v>
      </c>
      <c r="E960" t="s">
        <v>38</v>
      </c>
      <c r="F960" t="s">
        <v>58</v>
      </c>
      <c r="G960">
        <v>5</v>
      </c>
      <c r="H960" s="2">
        <v>72</v>
      </c>
      <c r="I960" s="2">
        <v>360</v>
      </c>
      <c r="J960" s="2">
        <v>185.92</v>
      </c>
      <c r="K960" s="2">
        <v>174.08</v>
      </c>
      <c r="L960" t="s">
        <v>35</v>
      </c>
    </row>
    <row r="961" spans="1:12" x14ac:dyDescent="0.35">
      <c r="A961" t="s">
        <v>1274</v>
      </c>
      <c r="B961">
        <v>45433</v>
      </c>
      <c r="C961" t="s">
        <v>535</v>
      </c>
      <c r="D961" t="s">
        <v>28</v>
      </c>
      <c r="E961" t="s">
        <v>15</v>
      </c>
      <c r="F961" t="s">
        <v>25</v>
      </c>
      <c r="G961">
        <v>2</v>
      </c>
      <c r="H961" s="2">
        <v>32</v>
      </c>
      <c r="I961" s="2">
        <v>64</v>
      </c>
      <c r="J961" s="2">
        <v>34.1</v>
      </c>
      <c r="K961" s="2">
        <v>29.9</v>
      </c>
      <c r="L961" t="s">
        <v>21</v>
      </c>
    </row>
    <row r="962" spans="1:12" x14ac:dyDescent="0.35">
      <c r="A962" t="s">
        <v>1275</v>
      </c>
      <c r="B962">
        <v>45644</v>
      </c>
      <c r="C962" t="s">
        <v>559</v>
      </c>
      <c r="D962" t="s">
        <v>28</v>
      </c>
      <c r="E962" t="s">
        <v>38</v>
      </c>
      <c r="F962" t="s">
        <v>39</v>
      </c>
      <c r="G962">
        <v>1</v>
      </c>
      <c r="H962" s="2">
        <v>45</v>
      </c>
      <c r="I962" s="2">
        <v>45</v>
      </c>
      <c r="J962" s="2">
        <v>26.17</v>
      </c>
      <c r="K962" s="2">
        <v>18.829999999999998</v>
      </c>
      <c r="L962" t="s">
        <v>44</v>
      </c>
    </row>
    <row r="963" spans="1:12" x14ac:dyDescent="0.35">
      <c r="A963" t="s">
        <v>1276</v>
      </c>
      <c r="B963">
        <v>45528</v>
      </c>
      <c r="C963" t="s">
        <v>153</v>
      </c>
      <c r="D963" t="s">
        <v>14</v>
      </c>
      <c r="E963" t="s">
        <v>15</v>
      </c>
      <c r="F963" t="s">
        <v>20</v>
      </c>
      <c r="G963">
        <v>4</v>
      </c>
      <c r="H963" s="2">
        <v>79</v>
      </c>
      <c r="I963" s="2">
        <v>316</v>
      </c>
      <c r="J963" s="2">
        <v>187.03</v>
      </c>
      <c r="K963" s="2">
        <v>128.97</v>
      </c>
      <c r="L963" t="s">
        <v>21</v>
      </c>
    </row>
    <row r="964" spans="1:12" x14ac:dyDescent="0.35">
      <c r="A964" t="s">
        <v>1277</v>
      </c>
      <c r="B964">
        <v>45469</v>
      </c>
      <c r="C964" t="s">
        <v>783</v>
      </c>
      <c r="D964" t="s">
        <v>14</v>
      </c>
      <c r="E964" t="s">
        <v>29</v>
      </c>
      <c r="F964" t="s">
        <v>43</v>
      </c>
      <c r="G964">
        <v>4</v>
      </c>
      <c r="H964" s="2">
        <v>89</v>
      </c>
      <c r="I964" s="2">
        <v>356</v>
      </c>
      <c r="J964" s="2">
        <v>284.38</v>
      </c>
      <c r="K964" s="2">
        <v>71.62</v>
      </c>
      <c r="L964" t="s">
        <v>44</v>
      </c>
    </row>
    <row r="965" spans="1:12" x14ac:dyDescent="0.35">
      <c r="A965" t="s">
        <v>1278</v>
      </c>
      <c r="B965">
        <v>45367</v>
      </c>
      <c r="C965" t="s">
        <v>146</v>
      </c>
      <c r="D965" t="s">
        <v>14</v>
      </c>
      <c r="E965" t="s">
        <v>29</v>
      </c>
      <c r="F965" t="s">
        <v>30</v>
      </c>
      <c r="G965">
        <v>4</v>
      </c>
      <c r="H965" s="2">
        <v>33</v>
      </c>
      <c r="I965" s="2">
        <v>132</v>
      </c>
      <c r="J965" s="2">
        <v>101.94</v>
      </c>
      <c r="K965" s="2">
        <v>30.06</v>
      </c>
      <c r="L965" t="s">
        <v>17</v>
      </c>
    </row>
    <row r="966" spans="1:12" x14ac:dyDescent="0.35">
      <c r="A966" t="s">
        <v>1279</v>
      </c>
      <c r="B966">
        <v>45395</v>
      </c>
      <c r="C966" t="s">
        <v>516</v>
      </c>
      <c r="D966" t="s">
        <v>14</v>
      </c>
      <c r="E966" t="s">
        <v>38</v>
      </c>
      <c r="F966" t="s">
        <v>52</v>
      </c>
      <c r="G966">
        <v>1</v>
      </c>
      <c r="H966" s="2">
        <v>45</v>
      </c>
      <c r="I966" s="2">
        <v>45</v>
      </c>
      <c r="J966" s="2">
        <v>32.53</v>
      </c>
      <c r="K966" s="2">
        <v>12.47</v>
      </c>
      <c r="L966" t="s">
        <v>21</v>
      </c>
    </row>
    <row r="967" spans="1:12" x14ac:dyDescent="0.35">
      <c r="A967" t="s">
        <v>1280</v>
      </c>
      <c r="B967">
        <v>45427</v>
      </c>
      <c r="C967" t="s">
        <v>638</v>
      </c>
      <c r="D967" t="s">
        <v>28</v>
      </c>
      <c r="E967" t="s">
        <v>33</v>
      </c>
      <c r="F967" t="s">
        <v>92</v>
      </c>
      <c r="G967">
        <v>1</v>
      </c>
      <c r="H967" s="2">
        <v>49</v>
      </c>
      <c r="I967" s="2">
        <v>49</v>
      </c>
      <c r="J967" s="2">
        <v>37.46</v>
      </c>
      <c r="K967" s="2">
        <v>11.54</v>
      </c>
      <c r="L967" t="s">
        <v>44</v>
      </c>
    </row>
    <row r="968" spans="1:12" x14ac:dyDescent="0.35">
      <c r="A968" t="s">
        <v>1281</v>
      </c>
      <c r="B968">
        <v>45541</v>
      </c>
      <c r="C968" t="s">
        <v>618</v>
      </c>
      <c r="D968" t="s">
        <v>14</v>
      </c>
      <c r="E968" t="s">
        <v>38</v>
      </c>
      <c r="F968" t="s">
        <v>39</v>
      </c>
      <c r="G968">
        <v>3</v>
      </c>
      <c r="H968" s="2">
        <v>74</v>
      </c>
      <c r="I968" s="2">
        <v>222</v>
      </c>
      <c r="J968" s="2">
        <v>126.62</v>
      </c>
      <c r="K968" s="2">
        <v>95.38</v>
      </c>
      <c r="L968" t="s">
        <v>17</v>
      </c>
    </row>
    <row r="969" spans="1:12" x14ac:dyDescent="0.35">
      <c r="A969" t="s">
        <v>1282</v>
      </c>
      <c r="B969">
        <v>45491</v>
      </c>
      <c r="C969" t="s">
        <v>570</v>
      </c>
      <c r="D969" t="s">
        <v>24</v>
      </c>
      <c r="E969" t="s">
        <v>33</v>
      </c>
      <c r="F969" t="s">
        <v>34</v>
      </c>
      <c r="G969">
        <v>1</v>
      </c>
      <c r="H969" s="2">
        <v>30</v>
      </c>
      <c r="I969" s="2">
        <v>30</v>
      </c>
      <c r="J969" s="2">
        <v>16.36</v>
      </c>
      <c r="K969" s="2">
        <v>13.64</v>
      </c>
      <c r="L969" t="s">
        <v>21</v>
      </c>
    </row>
    <row r="970" spans="1:12" x14ac:dyDescent="0.35">
      <c r="A970" t="s">
        <v>1283</v>
      </c>
      <c r="B970">
        <v>45447</v>
      </c>
      <c r="C970" t="s">
        <v>535</v>
      </c>
      <c r="D970" t="s">
        <v>14</v>
      </c>
      <c r="E970" t="s">
        <v>29</v>
      </c>
      <c r="F970" t="s">
        <v>30</v>
      </c>
      <c r="G970">
        <v>2</v>
      </c>
      <c r="H970" s="2">
        <v>66</v>
      </c>
      <c r="I970" s="2">
        <v>132</v>
      </c>
      <c r="J970" s="2">
        <v>103.94</v>
      </c>
      <c r="K970" s="2">
        <v>28.06</v>
      </c>
      <c r="L970" t="s">
        <v>44</v>
      </c>
    </row>
    <row r="971" spans="1:12" x14ac:dyDescent="0.35">
      <c r="A971" t="s">
        <v>1284</v>
      </c>
      <c r="B971">
        <v>45607</v>
      </c>
      <c r="C971" t="s">
        <v>872</v>
      </c>
      <c r="D971" t="s">
        <v>24</v>
      </c>
      <c r="E971" t="s">
        <v>15</v>
      </c>
      <c r="F971" t="s">
        <v>25</v>
      </c>
      <c r="G971">
        <v>3</v>
      </c>
      <c r="H971" s="2">
        <v>78</v>
      </c>
      <c r="I971" s="2">
        <v>234</v>
      </c>
      <c r="J971" s="2">
        <v>129.71</v>
      </c>
      <c r="K971" s="2">
        <v>104.29</v>
      </c>
      <c r="L971" t="s">
        <v>44</v>
      </c>
    </row>
    <row r="972" spans="1:12" x14ac:dyDescent="0.35">
      <c r="A972" t="s">
        <v>1285</v>
      </c>
      <c r="B972">
        <v>45403</v>
      </c>
      <c r="C972" t="s">
        <v>621</v>
      </c>
      <c r="D972" t="s">
        <v>14</v>
      </c>
      <c r="E972" t="s">
        <v>38</v>
      </c>
      <c r="F972" t="s">
        <v>58</v>
      </c>
      <c r="G972">
        <v>4</v>
      </c>
      <c r="H972" s="2">
        <v>74</v>
      </c>
      <c r="I972" s="2">
        <v>296</v>
      </c>
      <c r="J972" s="2">
        <v>187.37</v>
      </c>
      <c r="K972" s="2">
        <v>108.63</v>
      </c>
      <c r="L972" t="s">
        <v>21</v>
      </c>
    </row>
    <row r="973" spans="1:12" x14ac:dyDescent="0.35">
      <c r="A973" t="s">
        <v>1286</v>
      </c>
      <c r="B973">
        <v>45431</v>
      </c>
      <c r="C973" t="s">
        <v>1202</v>
      </c>
      <c r="D973" t="s">
        <v>28</v>
      </c>
      <c r="E973" t="s">
        <v>29</v>
      </c>
      <c r="F973" t="s">
        <v>75</v>
      </c>
      <c r="G973">
        <v>4</v>
      </c>
      <c r="H973" s="2">
        <v>90</v>
      </c>
      <c r="I973" s="2">
        <v>360</v>
      </c>
      <c r="J973" s="2">
        <v>237.57</v>
      </c>
      <c r="K973" s="2">
        <v>122.43</v>
      </c>
      <c r="L973" t="s">
        <v>35</v>
      </c>
    </row>
    <row r="974" spans="1:12" x14ac:dyDescent="0.35">
      <c r="A974" t="s">
        <v>1287</v>
      </c>
      <c r="B974">
        <v>45475</v>
      </c>
      <c r="C974" t="s">
        <v>173</v>
      </c>
      <c r="D974" t="s">
        <v>14</v>
      </c>
      <c r="E974" t="s">
        <v>15</v>
      </c>
      <c r="F974" t="s">
        <v>25</v>
      </c>
      <c r="G974">
        <v>1</v>
      </c>
      <c r="H974" s="2">
        <v>66</v>
      </c>
      <c r="I974" s="2">
        <v>66</v>
      </c>
      <c r="J974" s="2">
        <v>45.4</v>
      </c>
      <c r="K974" s="2">
        <v>20.6</v>
      </c>
      <c r="L974" t="s">
        <v>44</v>
      </c>
    </row>
    <row r="975" spans="1:12" x14ac:dyDescent="0.35">
      <c r="A975" t="s">
        <v>1288</v>
      </c>
      <c r="B975">
        <v>45309</v>
      </c>
      <c r="C975" t="s">
        <v>1289</v>
      </c>
      <c r="D975" t="s">
        <v>24</v>
      </c>
      <c r="E975" t="s">
        <v>38</v>
      </c>
      <c r="F975" t="s">
        <v>39</v>
      </c>
      <c r="G975">
        <v>1</v>
      </c>
      <c r="H975" s="2">
        <v>66</v>
      </c>
      <c r="I975" s="2">
        <v>66</v>
      </c>
      <c r="J975" s="2">
        <v>42.15</v>
      </c>
      <c r="K975" s="2">
        <v>23.85</v>
      </c>
      <c r="L975" t="s">
        <v>21</v>
      </c>
    </row>
    <row r="976" spans="1:12" x14ac:dyDescent="0.35">
      <c r="A976" t="s">
        <v>1290</v>
      </c>
      <c r="B976">
        <v>45426</v>
      </c>
      <c r="C976" t="s">
        <v>91</v>
      </c>
      <c r="D976" t="s">
        <v>42</v>
      </c>
      <c r="E976" t="s">
        <v>38</v>
      </c>
      <c r="F976" t="s">
        <v>58</v>
      </c>
      <c r="G976">
        <v>4</v>
      </c>
      <c r="H976" s="2">
        <v>51</v>
      </c>
      <c r="I976" s="2">
        <v>204</v>
      </c>
      <c r="J976" s="2">
        <v>124.46</v>
      </c>
      <c r="K976" s="2">
        <v>79.540000000000006</v>
      </c>
      <c r="L976" t="s">
        <v>17</v>
      </c>
    </row>
    <row r="977" spans="1:12" x14ac:dyDescent="0.35">
      <c r="A977" t="s">
        <v>1291</v>
      </c>
      <c r="B977">
        <v>45589</v>
      </c>
      <c r="C977" t="s">
        <v>97</v>
      </c>
      <c r="D977" t="s">
        <v>42</v>
      </c>
      <c r="E977" t="s">
        <v>29</v>
      </c>
      <c r="F977" t="s">
        <v>75</v>
      </c>
      <c r="G977">
        <v>3</v>
      </c>
      <c r="H977" s="2">
        <v>29</v>
      </c>
      <c r="I977" s="2">
        <v>87</v>
      </c>
      <c r="J977" s="2">
        <v>49.43</v>
      </c>
      <c r="K977" s="2">
        <v>37.57</v>
      </c>
      <c r="L977" t="s">
        <v>35</v>
      </c>
    </row>
    <row r="978" spans="1:12" x14ac:dyDescent="0.35">
      <c r="A978" t="s">
        <v>1292</v>
      </c>
      <c r="B978">
        <v>45626</v>
      </c>
      <c r="C978" t="s">
        <v>1198</v>
      </c>
      <c r="D978" t="s">
        <v>28</v>
      </c>
      <c r="E978" t="s">
        <v>33</v>
      </c>
      <c r="F978" t="s">
        <v>55</v>
      </c>
      <c r="G978">
        <v>1</v>
      </c>
      <c r="H978" s="2">
        <v>56</v>
      </c>
      <c r="I978" s="2">
        <v>56</v>
      </c>
      <c r="J978" s="2">
        <v>43.39</v>
      </c>
      <c r="K978" s="2">
        <v>12.61</v>
      </c>
      <c r="L978" t="s">
        <v>21</v>
      </c>
    </row>
    <row r="979" spans="1:12" x14ac:dyDescent="0.35">
      <c r="A979" t="s">
        <v>1293</v>
      </c>
      <c r="B979">
        <v>45571</v>
      </c>
      <c r="C979" t="s">
        <v>342</v>
      </c>
      <c r="D979" t="s">
        <v>28</v>
      </c>
      <c r="E979" t="s">
        <v>29</v>
      </c>
      <c r="F979" t="s">
        <v>47</v>
      </c>
      <c r="G979">
        <v>2</v>
      </c>
      <c r="H979" s="2">
        <v>82</v>
      </c>
      <c r="I979" s="2">
        <v>164</v>
      </c>
      <c r="J979" s="2">
        <v>96.35</v>
      </c>
      <c r="K979" s="2">
        <v>67.650000000000006</v>
      </c>
      <c r="L979" t="s">
        <v>21</v>
      </c>
    </row>
    <row r="980" spans="1:12" x14ac:dyDescent="0.35">
      <c r="A980" t="s">
        <v>1294</v>
      </c>
      <c r="B980">
        <v>45538</v>
      </c>
      <c r="C980" t="s">
        <v>570</v>
      </c>
      <c r="D980" t="s">
        <v>24</v>
      </c>
      <c r="E980" t="s">
        <v>15</v>
      </c>
      <c r="F980" t="s">
        <v>16</v>
      </c>
      <c r="G980">
        <v>2</v>
      </c>
      <c r="H980" s="2">
        <v>34</v>
      </c>
      <c r="I980" s="2">
        <v>68</v>
      </c>
      <c r="J980" s="2">
        <v>53.36</v>
      </c>
      <c r="K980" s="2">
        <v>14.64</v>
      </c>
      <c r="L980" t="s">
        <v>17</v>
      </c>
    </row>
    <row r="981" spans="1:12" x14ac:dyDescent="0.35">
      <c r="A981" t="s">
        <v>1295</v>
      </c>
      <c r="B981">
        <v>45588</v>
      </c>
      <c r="C981" t="s">
        <v>749</v>
      </c>
      <c r="D981" t="s">
        <v>14</v>
      </c>
      <c r="E981" t="s">
        <v>15</v>
      </c>
      <c r="F981" t="s">
        <v>20</v>
      </c>
      <c r="G981">
        <v>3</v>
      </c>
      <c r="H981" s="2">
        <v>66</v>
      </c>
      <c r="I981" s="2">
        <v>198</v>
      </c>
      <c r="J981" s="2">
        <v>115.64</v>
      </c>
      <c r="K981" s="2">
        <v>82.36</v>
      </c>
      <c r="L981" t="s">
        <v>44</v>
      </c>
    </row>
    <row r="982" spans="1:12" x14ac:dyDescent="0.35">
      <c r="A982" t="s">
        <v>1296</v>
      </c>
      <c r="B982">
        <v>45644</v>
      </c>
      <c r="C982" t="s">
        <v>1297</v>
      </c>
      <c r="D982" t="s">
        <v>28</v>
      </c>
      <c r="E982" t="s">
        <v>33</v>
      </c>
      <c r="F982" t="s">
        <v>92</v>
      </c>
      <c r="G982">
        <v>2</v>
      </c>
      <c r="H982" s="2">
        <v>21</v>
      </c>
      <c r="I982" s="2">
        <v>42</v>
      </c>
      <c r="J982" s="2">
        <v>33.04</v>
      </c>
      <c r="K982" s="2">
        <v>8.9600000000000009</v>
      </c>
      <c r="L982" t="s">
        <v>17</v>
      </c>
    </row>
    <row r="983" spans="1:12" x14ac:dyDescent="0.35">
      <c r="A983" t="s">
        <v>1298</v>
      </c>
      <c r="B983">
        <v>45495</v>
      </c>
      <c r="C983" t="s">
        <v>570</v>
      </c>
      <c r="D983" t="s">
        <v>28</v>
      </c>
      <c r="E983" t="s">
        <v>29</v>
      </c>
      <c r="F983" t="s">
        <v>47</v>
      </c>
      <c r="G983">
        <v>1</v>
      </c>
      <c r="H983" s="2">
        <v>19</v>
      </c>
      <c r="I983" s="2">
        <v>19</v>
      </c>
      <c r="J983" s="2">
        <v>11.91</v>
      </c>
      <c r="K983" s="2">
        <v>7.09</v>
      </c>
      <c r="L983" t="s">
        <v>17</v>
      </c>
    </row>
    <row r="984" spans="1:12" x14ac:dyDescent="0.35">
      <c r="A984" t="s">
        <v>1299</v>
      </c>
      <c r="B984">
        <v>45416</v>
      </c>
      <c r="C984" t="s">
        <v>691</v>
      </c>
      <c r="D984" t="s">
        <v>28</v>
      </c>
      <c r="E984" t="s">
        <v>15</v>
      </c>
      <c r="F984" t="s">
        <v>25</v>
      </c>
      <c r="G984">
        <v>5</v>
      </c>
      <c r="H984" s="2">
        <v>73</v>
      </c>
      <c r="I984" s="2">
        <v>365</v>
      </c>
      <c r="J984" s="2">
        <v>212.69</v>
      </c>
      <c r="K984" s="2">
        <v>152.31</v>
      </c>
      <c r="L984" t="s">
        <v>21</v>
      </c>
    </row>
    <row r="985" spans="1:12" x14ac:dyDescent="0.35">
      <c r="A985" t="s">
        <v>1300</v>
      </c>
      <c r="B985">
        <v>45488</v>
      </c>
      <c r="C985" t="s">
        <v>885</v>
      </c>
      <c r="D985" t="s">
        <v>28</v>
      </c>
      <c r="E985" t="s">
        <v>29</v>
      </c>
      <c r="F985" t="s">
        <v>43</v>
      </c>
      <c r="G985">
        <v>1</v>
      </c>
      <c r="H985" s="2">
        <v>79</v>
      </c>
      <c r="I985" s="2">
        <v>79</v>
      </c>
      <c r="J985" s="2">
        <v>44.72</v>
      </c>
      <c r="K985" s="2">
        <v>34.28</v>
      </c>
      <c r="L985" t="s">
        <v>21</v>
      </c>
    </row>
    <row r="986" spans="1:12" x14ac:dyDescent="0.35">
      <c r="A986" t="s">
        <v>1301</v>
      </c>
      <c r="B986">
        <v>45519</v>
      </c>
      <c r="C986" t="s">
        <v>498</v>
      </c>
      <c r="D986" t="s">
        <v>42</v>
      </c>
      <c r="E986" t="s">
        <v>29</v>
      </c>
      <c r="F986" t="s">
        <v>30</v>
      </c>
      <c r="G986">
        <v>1</v>
      </c>
      <c r="H986" s="2">
        <v>41</v>
      </c>
      <c r="I986" s="2">
        <v>41</v>
      </c>
      <c r="J986" s="2">
        <v>24.99</v>
      </c>
      <c r="K986" s="2">
        <v>16.010000000000002</v>
      </c>
      <c r="L986" t="s">
        <v>35</v>
      </c>
    </row>
    <row r="987" spans="1:12" x14ac:dyDescent="0.35">
      <c r="A987" t="s">
        <v>1302</v>
      </c>
      <c r="B987">
        <v>45450</v>
      </c>
      <c r="C987" t="s">
        <v>1303</v>
      </c>
      <c r="D987" t="s">
        <v>24</v>
      </c>
      <c r="E987" t="s">
        <v>38</v>
      </c>
      <c r="F987" t="s">
        <v>39</v>
      </c>
      <c r="G987">
        <v>5</v>
      </c>
      <c r="H987" s="2">
        <v>69</v>
      </c>
      <c r="I987" s="2">
        <v>345</v>
      </c>
      <c r="J987" s="2">
        <v>175.31</v>
      </c>
      <c r="K987" s="2">
        <v>169.69</v>
      </c>
      <c r="L987" t="s">
        <v>35</v>
      </c>
    </row>
    <row r="988" spans="1:12" x14ac:dyDescent="0.35">
      <c r="A988" t="s">
        <v>1304</v>
      </c>
      <c r="B988">
        <v>45547</v>
      </c>
      <c r="C988" t="s">
        <v>1235</v>
      </c>
      <c r="D988" t="s">
        <v>14</v>
      </c>
      <c r="E988" t="s">
        <v>33</v>
      </c>
      <c r="F988" t="s">
        <v>92</v>
      </c>
      <c r="G988">
        <v>1</v>
      </c>
      <c r="H988" s="2">
        <v>53</v>
      </c>
      <c r="I988" s="2">
        <v>53</v>
      </c>
      <c r="J988" s="2">
        <v>31.44</v>
      </c>
      <c r="K988" s="2">
        <v>21.56</v>
      </c>
      <c r="L988" t="s">
        <v>35</v>
      </c>
    </row>
    <row r="989" spans="1:12" x14ac:dyDescent="0.35">
      <c r="A989" t="s">
        <v>1305</v>
      </c>
      <c r="B989">
        <v>45365</v>
      </c>
      <c r="C989" t="s">
        <v>74</v>
      </c>
      <c r="D989" t="s">
        <v>14</v>
      </c>
      <c r="E989" t="s">
        <v>38</v>
      </c>
      <c r="F989" t="s">
        <v>58</v>
      </c>
      <c r="G989">
        <v>1</v>
      </c>
      <c r="H989" s="2">
        <v>30</v>
      </c>
      <c r="I989" s="2">
        <v>30</v>
      </c>
      <c r="J989" s="2">
        <v>15.06</v>
      </c>
      <c r="K989" s="2">
        <v>14.94</v>
      </c>
      <c r="L989" t="s">
        <v>21</v>
      </c>
    </row>
    <row r="990" spans="1:12" x14ac:dyDescent="0.35">
      <c r="A990" t="s">
        <v>1306</v>
      </c>
      <c r="B990">
        <v>45431</v>
      </c>
      <c r="C990" t="s">
        <v>746</v>
      </c>
      <c r="D990" t="s">
        <v>28</v>
      </c>
      <c r="E990" t="s">
        <v>29</v>
      </c>
      <c r="F990" t="s">
        <v>47</v>
      </c>
      <c r="G990">
        <v>1</v>
      </c>
      <c r="H990" s="2">
        <v>19</v>
      </c>
      <c r="I990" s="2">
        <v>19</v>
      </c>
      <c r="J990" s="2">
        <v>10.87</v>
      </c>
      <c r="K990" s="2">
        <v>8.1300000000000008</v>
      </c>
      <c r="L990" t="s">
        <v>21</v>
      </c>
    </row>
    <row r="991" spans="1:12" x14ac:dyDescent="0.35">
      <c r="A991" t="s">
        <v>1307</v>
      </c>
      <c r="B991">
        <v>45419</v>
      </c>
      <c r="C991" t="s">
        <v>161</v>
      </c>
      <c r="D991" t="s">
        <v>24</v>
      </c>
      <c r="E991" t="s">
        <v>15</v>
      </c>
      <c r="F991" t="s">
        <v>25</v>
      </c>
      <c r="G991">
        <v>1</v>
      </c>
      <c r="H991" s="2">
        <v>100</v>
      </c>
      <c r="I991" s="2">
        <v>100</v>
      </c>
      <c r="J991" s="2">
        <v>62.73</v>
      </c>
      <c r="K991" s="2">
        <v>37.270000000000003</v>
      </c>
      <c r="L991" t="s">
        <v>44</v>
      </c>
    </row>
    <row r="992" spans="1:12" x14ac:dyDescent="0.35">
      <c r="A992" t="s">
        <v>1308</v>
      </c>
      <c r="B992">
        <v>45368</v>
      </c>
      <c r="C992" t="s">
        <v>1198</v>
      </c>
      <c r="D992" t="s">
        <v>24</v>
      </c>
      <c r="E992" t="s">
        <v>29</v>
      </c>
      <c r="F992" t="s">
        <v>75</v>
      </c>
      <c r="G992">
        <v>5</v>
      </c>
      <c r="H992" s="2">
        <v>25</v>
      </c>
      <c r="I992" s="2">
        <v>125</v>
      </c>
      <c r="J992" s="2">
        <v>84.61</v>
      </c>
      <c r="K992" s="2">
        <v>40.39</v>
      </c>
      <c r="L992" t="s">
        <v>44</v>
      </c>
    </row>
    <row r="993" spans="1:12" x14ac:dyDescent="0.35">
      <c r="A993" t="s">
        <v>1309</v>
      </c>
      <c r="B993">
        <v>45520</v>
      </c>
      <c r="C993" t="s">
        <v>633</v>
      </c>
      <c r="D993" t="s">
        <v>28</v>
      </c>
      <c r="E993" t="s">
        <v>33</v>
      </c>
      <c r="F993" t="s">
        <v>55</v>
      </c>
      <c r="G993">
        <v>4</v>
      </c>
      <c r="H993" s="2">
        <v>81</v>
      </c>
      <c r="I993" s="2">
        <v>324</v>
      </c>
      <c r="J993" s="2">
        <v>179.27</v>
      </c>
      <c r="K993" s="2">
        <v>144.72999999999999</v>
      </c>
      <c r="L993" t="s">
        <v>35</v>
      </c>
    </row>
    <row r="994" spans="1:12" x14ac:dyDescent="0.35">
      <c r="A994" t="s">
        <v>1310</v>
      </c>
      <c r="B994">
        <v>45643</v>
      </c>
      <c r="C994" t="s">
        <v>584</v>
      </c>
      <c r="D994" t="s">
        <v>28</v>
      </c>
      <c r="E994" t="s">
        <v>29</v>
      </c>
      <c r="F994" t="s">
        <v>30</v>
      </c>
      <c r="G994">
        <v>1</v>
      </c>
      <c r="H994" s="2">
        <v>30</v>
      </c>
      <c r="I994" s="2">
        <v>30</v>
      </c>
      <c r="J994" s="2">
        <v>18.940000000000001</v>
      </c>
      <c r="K994" s="2">
        <v>11.06</v>
      </c>
      <c r="L994" t="s">
        <v>35</v>
      </c>
    </row>
    <row r="995" spans="1:12" x14ac:dyDescent="0.35">
      <c r="A995" t="s">
        <v>1311</v>
      </c>
      <c r="B995">
        <v>45548</v>
      </c>
      <c r="C995" t="s">
        <v>535</v>
      </c>
      <c r="D995" t="s">
        <v>42</v>
      </c>
      <c r="E995" t="s">
        <v>29</v>
      </c>
      <c r="F995" t="s">
        <v>47</v>
      </c>
      <c r="G995">
        <v>1</v>
      </c>
      <c r="H995" s="2">
        <v>28</v>
      </c>
      <c r="I995" s="2">
        <v>28</v>
      </c>
      <c r="J995" s="2">
        <v>15.76</v>
      </c>
      <c r="K995" s="2">
        <v>12.24</v>
      </c>
      <c r="L995" t="s">
        <v>44</v>
      </c>
    </row>
    <row r="996" spans="1:12" x14ac:dyDescent="0.35">
      <c r="A996" t="s">
        <v>1312</v>
      </c>
      <c r="B996">
        <v>45546</v>
      </c>
      <c r="C996" t="s">
        <v>416</v>
      </c>
      <c r="D996" t="s">
        <v>14</v>
      </c>
      <c r="E996" t="s">
        <v>29</v>
      </c>
      <c r="F996" t="s">
        <v>75</v>
      </c>
      <c r="G996">
        <v>1</v>
      </c>
      <c r="H996" s="2">
        <v>19</v>
      </c>
      <c r="I996" s="2">
        <v>19</v>
      </c>
      <c r="J996" s="2">
        <v>10.93</v>
      </c>
      <c r="K996" s="2">
        <v>8.07</v>
      </c>
      <c r="L996" t="s">
        <v>17</v>
      </c>
    </row>
    <row r="997" spans="1:12" x14ac:dyDescent="0.35">
      <c r="A997" t="s">
        <v>1313</v>
      </c>
      <c r="B997">
        <v>45597</v>
      </c>
      <c r="C997" t="s">
        <v>548</v>
      </c>
      <c r="D997" t="s">
        <v>28</v>
      </c>
      <c r="E997" t="s">
        <v>15</v>
      </c>
      <c r="F997" t="s">
        <v>20</v>
      </c>
      <c r="G997">
        <v>2</v>
      </c>
      <c r="H997" s="2">
        <v>23</v>
      </c>
      <c r="I997" s="2">
        <v>46</v>
      </c>
      <c r="J997" s="2">
        <v>30.27</v>
      </c>
      <c r="K997" s="2">
        <v>15.73</v>
      </c>
      <c r="L997" t="s">
        <v>17</v>
      </c>
    </row>
    <row r="998" spans="1:12" x14ac:dyDescent="0.35">
      <c r="A998" t="s">
        <v>1314</v>
      </c>
      <c r="B998">
        <v>45425</v>
      </c>
      <c r="C998" t="s">
        <v>805</v>
      </c>
      <c r="D998" t="s">
        <v>42</v>
      </c>
      <c r="E998" t="s">
        <v>15</v>
      </c>
      <c r="F998" t="s">
        <v>20</v>
      </c>
      <c r="G998">
        <v>5</v>
      </c>
      <c r="H998" s="2">
        <v>32</v>
      </c>
      <c r="I998" s="2">
        <v>160</v>
      </c>
      <c r="J998" s="2">
        <v>93.39</v>
      </c>
      <c r="K998" s="2">
        <v>66.61</v>
      </c>
      <c r="L998" t="s">
        <v>35</v>
      </c>
    </row>
    <row r="999" spans="1:12" x14ac:dyDescent="0.35">
      <c r="A999" t="s">
        <v>1315</v>
      </c>
      <c r="B999">
        <v>45463</v>
      </c>
      <c r="C999" t="s">
        <v>1316</v>
      </c>
      <c r="D999" t="s">
        <v>28</v>
      </c>
      <c r="E999" t="s">
        <v>38</v>
      </c>
      <c r="F999" t="s">
        <v>58</v>
      </c>
      <c r="G999">
        <v>3</v>
      </c>
      <c r="H999" s="2">
        <v>55</v>
      </c>
      <c r="I999" s="2">
        <v>165</v>
      </c>
      <c r="J999" s="2">
        <v>119.36</v>
      </c>
      <c r="K999" s="2">
        <v>45.64</v>
      </c>
      <c r="L999" t="s">
        <v>44</v>
      </c>
    </row>
    <row r="1000" spans="1:12" x14ac:dyDescent="0.35">
      <c r="A1000" t="s">
        <v>1317</v>
      </c>
      <c r="B1000">
        <v>45513</v>
      </c>
      <c r="C1000" t="s">
        <v>201</v>
      </c>
      <c r="D1000" t="s">
        <v>24</v>
      </c>
      <c r="E1000" t="s">
        <v>38</v>
      </c>
      <c r="F1000" t="s">
        <v>39</v>
      </c>
      <c r="G1000">
        <v>3</v>
      </c>
      <c r="H1000" s="2">
        <v>20</v>
      </c>
      <c r="I1000" s="2">
        <v>60</v>
      </c>
      <c r="J1000" s="2">
        <v>41.51</v>
      </c>
      <c r="K1000" s="2">
        <v>18.489999999999998</v>
      </c>
      <c r="L1000" t="s">
        <v>21</v>
      </c>
    </row>
    <row r="1001" spans="1:12" x14ac:dyDescent="0.35">
      <c r="A1001" t="s">
        <v>1318</v>
      </c>
      <c r="B1001">
        <v>45543</v>
      </c>
      <c r="C1001" t="s">
        <v>675</v>
      </c>
      <c r="D1001" t="s">
        <v>14</v>
      </c>
      <c r="E1001" t="s">
        <v>29</v>
      </c>
      <c r="F1001" t="s">
        <v>47</v>
      </c>
      <c r="G1001">
        <v>2</v>
      </c>
      <c r="H1001" s="2">
        <v>22</v>
      </c>
      <c r="I1001" s="2">
        <v>44</v>
      </c>
      <c r="J1001" s="2">
        <v>27.07</v>
      </c>
      <c r="K1001" s="2">
        <v>16.93</v>
      </c>
      <c r="L1001" t="s">
        <v>35</v>
      </c>
    </row>
    <row r="1002" spans="1:12" x14ac:dyDescent="0.35">
      <c r="A1002" t="s">
        <v>1319</v>
      </c>
      <c r="B1002">
        <v>45449</v>
      </c>
      <c r="C1002" t="s">
        <v>241</v>
      </c>
      <c r="D1002" t="s">
        <v>42</v>
      </c>
      <c r="E1002" t="s">
        <v>33</v>
      </c>
      <c r="F1002" t="s">
        <v>92</v>
      </c>
      <c r="G1002">
        <v>4</v>
      </c>
      <c r="H1002" s="2">
        <v>77</v>
      </c>
      <c r="I1002" s="2">
        <v>308</v>
      </c>
      <c r="J1002" s="2">
        <v>194.09</v>
      </c>
      <c r="K1002" s="2">
        <v>113.91</v>
      </c>
      <c r="L1002" t="s">
        <v>21</v>
      </c>
    </row>
    <row r="1003" spans="1:12" x14ac:dyDescent="0.35">
      <c r="A1003" t="s">
        <v>1320</v>
      </c>
      <c r="B1003">
        <v>45476</v>
      </c>
      <c r="C1003" t="s">
        <v>95</v>
      </c>
      <c r="D1003" t="s">
        <v>24</v>
      </c>
      <c r="E1003" t="s">
        <v>15</v>
      </c>
      <c r="F1003" t="s">
        <v>25</v>
      </c>
      <c r="G1003">
        <v>2</v>
      </c>
      <c r="H1003" s="2">
        <v>45</v>
      </c>
      <c r="I1003" s="2">
        <v>90</v>
      </c>
      <c r="J1003" s="2">
        <v>71.44</v>
      </c>
      <c r="K1003" s="2">
        <v>18.559999999999999</v>
      </c>
      <c r="L1003" t="s">
        <v>17</v>
      </c>
    </row>
    <row r="1004" spans="1:12" x14ac:dyDescent="0.35">
      <c r="A1004" t="s">
        <v>1321</v>
      </c>
      <c r="B1004">
        <v>45525</v>
      </c>
      <c r="C1004" t="s">
        <v>421</v>
      </c>
      <c r="D1004" t="s">
        <v>14</v>
      </c>
      <c r="E1004" t="s">
        <v>38</v>
      </c>
      <c r="F1004" t="s">
        <v>58</v>
      </c>
      <c r="G1004">
        <v>1</v>
      </c>
      <c r="H1004" s="2">
        <v>41</v>
      </c>
      <c r="I1004" s="2">
        <v>41</v>
      </c>
      <c r="J1004" s="2">
        <v>22.1</v>
      </c>
      <c r="K1004" s="2">
        <v>18.899999999999999</v>
      </c>
      <c r="L1004" t="s">
        <v>21</v>
      </c>
    </row>
    <row r="1005" spans="1:12" x14ac:dyDescent="0.35">
      <c r="A1005" t="s">
        <v>1322</v>
      </c>
      <c r="B1005">
        <v>45443</v>
      </c>
      <c r="C1005" t="s">
        <v>778</v>
      </c>
      <c r="D1005" t="s">
        <v>28</v>
      </c>
      <c r="E1005" t="s">
        <v>38</v>
      </c>
      <c r="F1005" t="s">
        <v>52</v>
      </c>
      <c r="G1005">
        <v>5</v>
      </c>
      <c r="H1005" s="2">
        <v>47</v>
      </c>
      <c r="I1005" s="2">
        <v>235</v>
      </c>
      <c r="J1005" s="2">
        <v>178.67</v>
      </c>
      <c r="K1005" s="2">
        <v>56.33</v>
      </c>
      <c r="L1005" t="s">
        <v>21</v>
      </c>
    </row>
    <row r="1006" spans="1:12" x14ac:dyDescent="0.35">
      <c r="A1006" t="s">
        <v>1323</v>
      </c>
      <c r="B1006">
        <v>45643</v>
      </c>
      <c r="C1006" t="s">
        <v>97</v>
      </c>
      <c r="D1006" t="s">
        <v>28</v>
      </c>
      <c r="E1006" t="s">
        <v>38</v>
      </c>
      <c r="F1006" t="s">
        <v>58</v>
      </c>
      <c r="G1006">
        <v>5</v>
      </c>
      <c r="H1006" s="2">
        <v>53</v>
      </c>
      <c r="I1006" s="2">
        <v>265</v>
      </c>
      <c r="J1006" s="2">
        <v>159.31</v>
      </c>
      <c r="K1006" s="2">
        <v>105.69</v>
      </c>
      <c r="L1006" t="s">
        <v>17</v>
      </c>
    </row>
    <row r="1007" spans="1:12" x14ac:dyDescent="0.35">
      <c r="A1007" t="s">
        <v>1324</v>
      </c>
      <c r="B1007">
        <v>45539</v>
      </c>
      <c r="C1007" t="s">
        <v>440</v>
      </c>
      <c r="D1007" t="s">
        <v>24</v>
      </c>
      <c r="E1007" t="s">
        <v>15</v>
      </c>
      <c r="F1007" t="s">
        <v>20</v>
      </c>
      <c r="G1007">
        <v>3</v>
      </c>
      <c r="H1007" s="2">
        <v>33</v>
      </c>
      <c r="I1007" s="2">
        <v>99</v>
      </c>
      <c r="J1007" s="2">
        <v>71.48</v>
      </c>
      <c r="K1007" s="2">
        <v>27.52</v>
      </c>
      <c r="L1007" t="s">
        <v>35</v>
      </c>
    </row>
    <row r="1008" spans="1:12" x14ac:dyDescent="0.35">
      <c r="A1008" t="s">
        <v>1325</v>
      </c>
      <c r="B1008">
        <v>45388</v>
      </c>
      <c r="C1008" t="s">
        <v>527</v>
      </c>
      <c r="D1008" t="s">
        <v>42</v>
      </c>
      <c r="E1008" t="s">
        <v>38</v>
      </c>
      <c r="F1008" t="s">
        <v>52</v>
      </c>
      <c r="G1008">
        <v>4</v>
      </c>
      <c r="H1008" s="2">
        <v>54</v>
      </c>
      <c r="I1008" s="2">
        <v>216</v>
      </c>
      <c r="J1008" s="2">
        <v>157.03</v>
      </c>
      <c r="K1008" s="2">
        <v>58.97</v>
      </c>
      <c r="L1008" t="s">
        <v>44</v>
      </c>
    </row>
    <row r="1009" spans="1:12" x14ac:dyDescent="0.35">
      <c r="A1009" t="s">
        <v>1326</v>
      </c>
      <c r="B1009">
        <v>45600</v>
      </c>
      <c r="C1009" t="s">
        <v>349</v>
      </c>
      <c r="D1009" t="s">
        <v>42</v>
      </c>
      <c r="E1009" t="s">
        <v>29</v>
      </c>
      <c r="F1009" t="s">
        <v>47</v>
      </c>
      <c r="G1009">
        <v>2</v>
      </c>
      <c r="H1009" s="2">
        <v>21</v>
      </c>
      <c r="I1009" s="2">
        <v>42</v>
      </c>
      <c r="J1009" s="2">
        <v>25.59</v>
      </c>
      <c r="K1009" s="2">
        <v>16.41</v>
      </c>
      <c r="L1009" t="s">
        <v>44</v>
      </c>
    </row>
    <row r="1010" spans="1:12" x14ac:dyDescent="0.35">
      <c r="A1010" t="s">
        <v>1327</v>
      </c>
      <c r="B1010">
        <v>45354</v>
      </c>
      <c r="C1010" t="s">
        <v>304</v>
      </c>
      <c r="D1010" t="s">
        <v>24</v>
      </c>
      <c r="E1010" t="s">
        <v>29</v>
      </c>
      <c r="F1010" t="s">
        <v>43</v>
      </c>
      <c r="G1010">
        <v>2</v>
      </c>
      <c r="H1010" s="2">
        <v>50</v>
      </c>
      <c r="I1010" s="2">
        <v>100</v>
      </c>
      <c r="J1010" s="2">
        <v>59.47</v>
      </c>
      <c r="K1010" s="2">
        <v>40.53</v>
      </c>
      <c r="L1010" t="s">
        <v>35</v>
      </c>
    </row>
    <row r="1011" spans="1:12" x14ac:dyDescent="0.35">
      <c r="A1011" t="s">
        <v>1328</v>
      </c>
      <c r="B1011">
        <v>45579</v>
      </c>
      <c r="C1011" t="s">
        <v>447</v>
      </c>
      <c r="D1011" t="s">
        <v>28</v>
      </c>
      <c r="E1011" t="s">
        <v>15</v>
      </c>
      <c r="F1011" t="s">
        <v>16</v>
      </c>
      <c r="G1011">
        <v>3</v>
      </c>
      <c r="H1011" s="2">
        <v>19</v>
      </c>
      <c r="I1011" s="2">
        <v>57</v>
      </c>
      <c r="J1011" s="2">
        <v>36.67</v>
      </c>
      <c r="K1011" s="2">
        <v>20.329999999999998</v>
      </c>
      <c r="L1011" t="s">
        <v>21</v>
      </c>
    </row>
    <row r="1012" spans="1:12" x14ac:dyDescent="0.35">
      <c r="A1012" t="s">
        <v>1329</v>
      </c>
      <c r="B1012">
        <v>45553</v>
      </c>
      <c r="C1012" t="s">
        <v>19</v>
      </c>
      <c r="D1012" t="s">
        <v>28</v>
      </c>
      <c r="E1012" t="s">
        <v>33</v>
      </c>
      <c r="F1012" t="s">
        <v>34</v>
      </c>
      <c r="G1012">
        <v>1</v>
      </c>
      <c r="H1012" s="2">
        <v>81</v>
      </c>
      <c r="I1012" s="2">
        <v>81</v>
      </c>
      <c r="J1012" s="2">
        <v>51.77</v>
      </c>
      <c r="K1012" s="2">
        <v>29.23</v>
      </c>
      <c r="L1012" t="s">
        <v>21</v>
      </c>
    </row>
    <row r="1013" spans="1:12" x14ac:dyDescent="0.35">
      <c r="A1013" t="s">
        <v>1330</v>
      </c>
      <c r="B1013">
        <v>45444</v>
      </c>
      <c r="C1013" t="s">
        <v>1245</v>
      </c>
      <c r="D1013" t="s">
        <v>24</v>
      </c>
      <c r="E1013" t="s">
        <v>29</v>
      </c>
      <c r="F1013" t="s">
        <v>47</v>
      </c>
      <c r="G1013">
        <v>5</v>
      </c>
      <c r="H1013" s="2">
        <v>100</v>
      </c>
      <c r="I1013" s="2">
        <v>500</v>
      </c>
      <c r="J1013" s="2">
        <v>276.56</v>
      </c>
      <c r="K1013" s="2">
        <v>223.44</v>
      </c>
      <c r="L1013" t="s">
        <v>21</v>
      </c>
    </row>
    <row r="1014" spans="1:12" x14ac:dyDescent="0.35">
      <c r="A1014" t="s">
        <v>1331</v>
      </c>
      <c r="B1014">
        <v>45317</v>
      </c>
      <c r="C1014" t="s">
        <v>1000</v>
      </c>
      <c r="D1014" t="s">
        <v>28</v>
      </c>
      <c r="E1014" t="s">
        <v>15</v>
      </c>
      <c r="F1014" t="s">
        <v>25</v>
      </c>
      <c r="G1014">
        <v>2</v>
      </c>
      <c r="H1014" s="2">
        <v>59</v>
      </c>
      <c r="I1014" s="2">
        <v>118</v>
      </c>
      <c r="J1014" s="2">
        <v>77.540000000000006</v>
      </c>
      <c r="K1014" s="2">
        <v>40.46</v>
      </c>
      <c r="L1014" t="s">
        <v>44</v>
      </c>
    </row>
    <row r="1015" spans="1:12" x14ac:dyDescent="0.35">
      <c r="A1015" t="s">
        <v>1332</v>
      </c>
      <c r="B1015">
        <v>45324</v>
      </c>
      <c r="C1015" t="s">
        <v>148</v>
      </c>
      <c r="D1015" t="s">
        <v>42</v>
      </c>
      <c r="E1015" t="s">
        <v>29</v>
      </c>
      <c r="F1015" t="s">
        <v>30</v>
      </c>
      <c r="G1015">
        <v>3</v>
      </c>
      <c r="H1015" s="2">
        <v>97</v>
      </c>
      <c r="I1015" s="2">
        <v>291</v>
      </c>
      <c r="J1015" s="2">
        <v>229.78</v>
      </c>
      <c r="K1015" s="2">
        <v>61.22</v>
      </c>
      <c r="L1015" t="s">
        <v>35</v>
      </c>
    </row>
    <row r="1016" spans="1:12" x14ac:dyDescent="0.35">
      <c r="A1016" t="s">
        <v>1333</v>
      </c>
      <c r="B1016">
        <v>45359</v>
      </c>
      <c r="C1016" t="s">
        <v>854</v>
      </c>
      <c r="D1016" t="s">
        <v>24</v>
      </c>
      <c r="E1016" t="s">
        <v>29</v>
      </c>
      <c r="F1016" t="s">
        <v>75</v>
      </c>
      <c r="G1016">
        <v>3</v>
      </c>
      <c r="H1016" s="2">
        <v>17</v>
      </c>
      <c r="I1016" s="2">
        <v>51</v>
      </c>
      <c r="J1016" s="2">
        <v>34.130000000000003</v>
      </c>
      <c r="K1016" s="2">
        <v>16.87</v>
      </c>
      <c r="L1016" t="s">
        <v>44</v>
      </c>
    </row>
    <row r="1017" spans="1:12" x14ac:dyDescent="0.35">
      <c r="A1017" t="s">
        <v>1334</v>
      </c>
      <c r="B1017">
        <v>45407</v>
      </c>
      <c r="C1017" t="s">
        <v>302</v>
      </c>
      <c r="D1017" t="s">
        <v>42</v>
      </c>
      <c r="E1017" t="s">
        <v>29</v>
      </c>
      <c r="F1017" t="s">
        <v>43</v>
      </c>
      <c r="G1017">
        <v>5</v>
      </c>
      <c r="H1017" s="2">
        <v>23</v>
      </c>
      <c r="I1017" s="2">
        <v>115</v>
      </c>
      <c r="J1017" s="2">
        <v>90.33</v>
      </c>
      <c r="K1017" s="2">
        <v>24.67</v>
      </c>
      <c r="L1017" t="s">
        <v>21</v>
      </c>
    </row>
    <row r="1018" spans="1:12" x14ac:dyDescent="0.35">
      <c r="A1018" t="s">
        <v>1335</v>
      </c>
      <c r="B1018">
        <v>45390</v>
      </c>
      <c r="C1018" t="s">
        <v>1336</v>
      </c>
      <c r="D1018" t="s">
        <v>42</v>
      </c>
      <c r="E1018" t="s">
        <v>33</v>
      </c>
      <c r="F1018" t="s">
        <v>34</v>
      </c>
      <c r="G1018">
        <v>1</v>
      </c>
      <c r="H1018" s="2">
        <v>88</v>
      </c>
      <c r="I1018" s="2">
        <v>88</v>
      </c>
      <c r="J1018" s="2">
        <v>68.94</v>
      </c>
      <c r="K1018" s="2">
        <v>19.059999999999999</v>
      </c>
      <c r="L1018" t="s">
        <v>44</v>
      </c>
    </row>
    <row r="1019" spans="1:12" x14ac:dyDescent="0.35">
      <c r="A1019" t="s">
        <v>1337</v>
      </c>
      <c r="B1019">
        <v>45420</v>
      </c>
      <c r="C1019" t="s">
        <v>889</v>
      </c>
      <c r="D1019" t="s">
        <v>42</v>
      </c>
      <c r="E1019" t="s">
        <v>15</v>
      </c>
      <c r="F1019" t="s">
        <v>25</v>
      </c>
      <c r="G1019">
        <v>1</v>
      </c>
      <c r="H1019" s="2">
        <v>85</v>
      </c>
      <c r="I1019" s="2">
        <v>85</v>
      </c>
      <c r="J1019" s="2">
        <v>58.26</v>
      </c>
      <c r="K1019" s="2">
        <v>26.74</v>
      </c>
      <c r="L1019" t="s">
        <v>21</v>
      </c>
    </row>
    <row r="1020" spans="1:12" x14ac:dyDescent="0.35">
      <c r="A1020" t="s">
        <v>1338</v>
      </c>
      <c r="B1020">
        <v>45483</v>
      </c>
      <c r="C1020" t="s">
        <v>568</v>
      </c>
      <c r="D1020" t="s">
        <v>24</v>
      </c>
      <c r="E1020" t="s">
        <v>38</v>
      </c>
      <c r="F1020" t="s">
        <v>58</v>
      </c>
      <c r="G1020">
        <v>5</v>
      </c>
      <c r="H1020" s="2">
        <v>69</v>
      </c>
      <c r="I1020" s="2">
        <v>345</v>
      </c>
      <c r="J1020" s="2">
        <v>204.88</v>
      </c>
      <c r="K1020" s="2">
        <v>140.12</v>
      </c>
      <c r="L1020" t="s">
        <v>35</v>
      </c>
    </row>
    <row r="1021" spans="1:12" x14ac:dyDescent="0.35">
      <c r="A1021" t="s">
        <v>1339</v>
      </c>
      <c r="B1021">
        <v>45613</v>
      </c>
      <c r="C1021" t="s">
        <v>1083</v>
      </c>
      <c r="D1021" t="s">
        <v>14</v>
      </c>
      <c r="E1021" t="s">
        <v>33</v>
      </c>
      <c r="F1021" t="s">
        <v>92</v>
      </c>
      <c r="G1021">
        <v>4</v>
      </c>
      <c r="H1021" s="2">
        <v>52</v>
      </c>
      <c r="I1021" s="2">
        <v>208</v>
      </c>
      <c r="J1021" s="2">
        <v>144</v>
      </c>
      <c r="K1021" s="2">
        <v>64</v>
      </c>
      <c r="L1021" t="s">
        <v>35</v>
      </c>
    </row>
    <row r="1022" spans="1:12" x14ac:dyDescent="0.35">
      <c r="A1022" t="s">
        <v>1340</v>
      </c>
      <c r="B1022">
        <v>45649</v>
      </c>
      <c r="C1022" t="s">
        <v>418</v>
      </c>
      <c r="D1022" t="s">
        <v>28</v>
      </c>
      <c r="E1022" t="s">
        <v>33</v>
      </c>
      <c r="F1022" t="s">
        <v>34</v>
      </c>
      <c r="G1022">
        <v>4</v>
      </c>
      <c r="H1022" s="2">
        <v>86</v>
      </c>
      <c r="I1022" s="2">
        <v>344</v>
      </c>
      <c r="J1022" s="2">
        <v>206.71</v>
      </c>
      <c r="K1022" s="2">
        <v>137.29</v>
      </c>
      <c r="L1022" t="s">
        <v>17</v>
      </c>
    </row>
    <row r="1023" spans="1:12" x14ac:dyDescent="0.35">
      <c r="A1023" t="s">
        <v>1341</v>
      </c>
      <c r="B1023">
        <v>45328</v>
      </c>
      <c r="C1023" t="s">
        <v>428</v>
      </c>
      <c r="D1023" t="s">
        <v>14</v>
      </c>
      <c r="E1023" t="s">
        <v>15</v>
      </c>
      <c r="F1023" t="s">
        <v>16</v>
      </c>
      <c r="G1023">
        <v>3</v>
      </c>
      <c r="H1023" s="2">
        <v>95</v>
      </c>
      <c r="I1023" s="2">
        <v>285</v>
      </c>
      <c r="J1023" s="2">
        <v>149.94999999999999</v>
      </c>
      <c r="K1023" s="2">
        <v>135.05000000000001</v>
      </c>
      <c r="L1023" t="s">
        <v>21</v>
      </c>
    </row>
    <row r="1024" spans="1:12" x14ac:dyDescent="0.35">
      <c r="A1024" t="s">
        <v>1342</v>
      </c>
      <c r="B1024">
        <v>45440</v>
      </c>
      <c r="C1024" t="s">
        <v>972</v>
      </c>
      <c r="D1024" t="s">
        <v>42</v>
      </c>
      <c r="E1024" t="s">
        <v>15</v>
      </c>
      <c r="F1024" t="s">
        <v>25</v>
      </c>
      <c r="G1024">
        <v>5</v>
      </c>
      <c r="H1024" s="2">
        <v>34</v>
      </c>
      <c r="I1024" s="2">
        <v>170</v>
      </c>
      <c r="J1024" s="2">
        <v>88.07</v>
      </c>
      <c r="K1024" s="2">
        <v>81.93</v>
      </c>
      <c r="L1024" t="s">
        <v>35</v>
      </c>
    </row>
    <row r="1025" spans="1:12" x14ac:dyDescent="0.35">
      <c r="A1025" t="s">
        <v>1343</v>
      </c>
      <c r="B1025">
        <v>45459</v>
      </c>
      <c r="C1025" t="s">
        <v>643</v>
      </c>
      <c r="D1025" t="s">
        <v>42</v>
      </c>
      <c r="E1025" t="s">
        <v>15</v>
      </c>
      <c r="F1025" t="s">
        <v>16</v>
      </c>
      <c r="G1025">
        <v>3</v>
      </c>
      <c r="H1025" s="2">
        <v>66</v>
      </c>
      <c r="I1025" s="2">
        <v>198</v>
      </c>
      <c r="J1025" s="2">
        <v>146.99</v>
      </c>
      <c r="K1025" s="2">
        <v>51.01</v>
      </c>
      <c r="L1025" t="s">
        <v>44</v>
      </c>
    </row>
    <row r="1026" spans="1:12" x14ac:dyDescent="0.35">
      <c r="A1026" t="s">
        <v>1344</v>
      </c>
      <c r="B1026">
        <v>45649</v>
      </c>
      <c r="C1026" t="s">
        <v>275</v>
      </c>
      <c r="D1026" t="s">
        <v>14</v>
      </c>
      <c r="E1026" t="s">
        <v>33</v>
      </c>
      <c r="F1026" t="s">
        <v>55</v>
      </c>
      <c r="G1026">
        <v>2</v>
      </c>
      <c r="H1026" s="2">
        <v>27</v>
      </c>
      <c r="I1026" s="2">
        <v>54</v>
      </c>
      <c r="J1026" s="2">
        <v>39.590000000000003</v>
      </c>
      <c r="K1026" s="2">
        <v>14.41</v>
      </c>
      <c r="L1026" t="s">
        <v>44</v>
      </c>
    </row>
    <row r="1027" spans="1:12" x14ac:dyDescent="0.35">
      <c r="A1027" t="s">
        <v>1345</v>
      </c>
      <c r="B1027">
        <v>45550</v>
      </c>
      <c r="C1027" t="s">
        <v>376</v>
      </c>
      <c r="D1027" t="s">
        <v>42</v>
      </c>
      <c r="E1027" t="s">
        <v>33</v>
      </c>
      <c r="F1027" t="s">
        <v>92</v>
      </c>
      <c r="G1027">
        <v>4</v>
      </c>
      <c r="H1027" s="2">
        <v>93</v>
      </c>
      <c r="I1027" s="2">
        <v>372</v>
      </c>
      <c r="J1027" s="2">
        <v>264.77999999999997</v>
      </c>
      <c r="K1027" s="2">
        <v>107.22</v>
      </c>
      <c r="L1027" t="s">
        <v>21</v>
      </c>
    </row>
    <row r="1028" spans="1:12" x14ac:dyDescent="0.35">
      <c r="A1028" t="s">
        <v>1346</v>
      </c>
      <c r="B1028">
        <v>45461</v>
      </c>
      <c r="C1028" t="s">
        <v>378</v>
      </c>
      <c r="D1028" t="s">
        <v>24</v>
      </c>
      <c r="E1028" t="s">
        <v>33</v>
      </c>
      <c r="F1028" t="s">
        <v>55</v>
      </c>
      <c r="G1028">
        <v>3</v>
      </c>
      <c r="H1028" s="2">
        <v>90</v>
      </c>
      <c r="I1028" s="2">
        <v>270</v>
      </c>
      <c r="J1028" s="2">
        <v>179.31</v>
      </c>
      <c r="K1028" s="2">
        <v>90.69</v>
      </c>
      <c r="L1028" t="s">
        <v>21</v>
      </c>
    </row>
    <row r="1029" spans="1:12" x14ac:dyDescent="0.35">
      <c r="A1029" t="s">
        <v>1347</v>
      </c>
      <c r="B1029">
        <v>45579</v>
      </c>
      <c r="C1029" t="s">
        <v>268</v>
      </c>
      <c r="D1029" t="s">
        <v>24</v>
      </c>
      <c r="E1029" t="s">
        <v>15</v>
      </c>
      <c r="F1029" t="s">
        <v>25</v>
      </c>
      <c r="G1029">
        <v>1</v>
      </c>
      <c r="H1029" s="2">
        <v>60</v>
      </c>
      <c r="I1029" s="2">
        <v>60</v>
      </c>
      <c r="J1029" s="2">
        <v>37.44</v>
      </c>
      <c r="K1029" s="2">
        <v>22.56</v>
      </c>
      <c r="L1029" t="s">
        <v>44</v>
      </c>
    </row>
    <row r="1030" spans="1:12" x14ac:dyDescent="0.35">
      <c r="A1030" t="s">
        <v>1348</v>
      </c>
      <c r="B1030">
        <v>45635</v>
      </c>
      <c r="C1030" t="s">
        <v>846</v>
      </c>
      <c r="D1030" t="s">
        <v>28</v>
      </c>
      <c r="E1030" t="s">
        <v>15</v>
      </c>
      <c r="F1030" t="s">
        <v>20</v>
      </c>
      <c r="G1030">
        <v>3</v>
      </c>
      <c r="H1030" s="2">
        <v>54</v>
      </c>
      <c r="I1030" s="2">
        <v>162</v>
      </c>
      <c r="J1030" s="2">
        <v>86.14</v>
      </c>
      <c r="K1030" s="2">
        <v>75.86</v>
      </c>
      <c r="L1030" t="s">
        <v>17</v>
      </c>
    </row>
    <row r="1031" spans="1:12" x14ac:dyDescent="0.35">
      <c r="A1031" t="s">
        <v>1349</v>
      </c>
      <c r="B1031">
        <v>45448</v>
      </c>
      <c r="C1031" t="s">
        <v>27</v>
      </c>
      <c r="D1031" t="s">
        <v>28</v>
      </c>
      <c r="E1031" t="s">
        <v>29</v>
      </c>
      <c r="F1031" t="s">
        <v>75</v>
      </c>
      <c r="G1031">
        <v>3</v>
      </c>
      <c r="H1031" s="2">
        <v>34</v>
      </c>
      <c r="I1031" s="2">
        <v>102</v>
      </c>
      <c r="J1031" s="2">
        <v>68.989999999999995</v>
      </c>
      <c r="K1031" s="2">
        <v>33.01</v>
      </c>
      <c r="L1031" t="s">
        <v>17</v>
      </c>
    </row>
    <row r="1032" spans="1:12" x14ac:dyDescent="0.35">
      <c r="A1032" t="s">
        <v>1350</v>
      </c>
      <c r="B1032">
        <v>45615</v>
      </c>
      <c r="C1032" t="s">
        <v>1351</v>
      </c>
      <c r="D1032" t="s">
        <v>14</v>
      </c>
      <c r="E1032" t="s">
        <v>33</v>
      </c>
      <c r="F1032" t="s">
        <v>34</v>
      </c>
      <c r="G1032">
        <v>5</v>
      </c>
      <c r="H1032" s="2">
        <v>90</v>
      </c>
      <c r="I1032" s="2">
        <v>450</v>
      </c>
      <c r="J1032" s="2">
        <v>325.95</v>
      </c>
      <c r="K1032" s="2">
        <v>124.05</v>
      </c>
      <c r="L1032" t="s">
        <v>17</v>
      </c>
    </row>
    <row r="1033" spans="1:12" x14ac:dyDescent="0.35">
      <c r="A1033" t="s">
        <v>1352</v>
      </c>
      <c r="B1033">
        <v>45313</v>
      </c>
      <c r="C1033" t="s">
        <v>418</v>
      </c>
      <c r="D1033" t="s">
        <v>24</v>
      </c>
      <c r="E1033" t="s">
        <v>15</v>
      </c>
      <c r="F1033" t="s">
        <v>25</v>
      </c>
      <c r="G1033">
        <v>5</v>
      </c>
      <c r="H1033" s="2">
        <v>29</v>
      </c>
      <c r="I1033" s="2">
        <v>145</v>
      </c>
      <c r="J1033" s="2">
        <v>105</v>
      </c>
      <c r="K1033" s="2">
        <v>40</v>
      </c>
      <c r="L1033" t="s">
        <v>35</v>
      </c>
    </row>
    <row r="1034" spans="1:12" x14ac:dyDescent="0.35">
      <c r="A1034" t="s">
        <v>1353</v>
      </c>
      <c r="B1034">
        <v>45556</v>
      </c>
      <c r="C1034" t="s">
        <v>545</v>
      </c>
      <c r="D1034" t="s">
        <v>24</v>
      </c>
      <c r="E1034" t="s">
        <v>33</v>
      </c>
      <c r="F1034" t="s">
        <v>55</v>
      </c>
      <c r="G1034">
        <v>5</v>
      </c>
      <c r="H1034" s="2">
        <v>85</v>
      </c>
      <c r="I1034" s="2">
        <v>425</v>
      </c>
      <c r="J1034" s="2">
        <v>304.56</v>
      </c>
      <c r="K1034" s="2">
        <v>120.44</v>
      </c>
      <c r="L1034" t="s">
        <v>17</v>
      </c>
    </row>
    <row r="1035" spans="1:12" x14ac:dyDescent="0.35">
      <c r="A1035" t="s">
        <v>1354</v>
      </c>
      <c r="B1035">
        <v>45418</v>
      </c>
      <c r="C1035" t="s">
        <v>720</v>
      </c>
      <c r="D1035" t="s">
        <v>42</v>
      </c>
      <c r="E1035" t="s">
        <v>29</v>
      </c>
      <c r="F1035" t="s">
        <v>75</v>
      </c>
      <c r="G1035">
        <v>1</v>
      </c>
      <c r="H1035" s="2">
        <v>46</v>
      </c>
      <c r="I1035" s="2">
        <v>46</v>
      </c>
      <c r="J1035" s="2">
        <v>28.67</v>
      </c>
      <c r="K1035" s="2">
        <v>17.329999999999998</v>
      </c>
      <c r="L1035" t="s">
        <v>35</v>
      </c>
    </row>
    <row r="1036" spans="1:12" x14ac:dyDescent="0.35">
      <c r="A1036" t="s">
        <v>1355</v>
      </c>
      <c r="B1036">
        <v>45594</v>
      </c>
      <c r="C1036" t="s">
        <v>273</v>
      </c>
      <c r="D1036" t="s">
        <v>24</v>
      </c>
      <c r="E1036" t="s">
        <v>15</v>
      </c>
      <c r="F1036" t="s">
        <v>16</v>
      </c>
      <c r="G1036">
        <v>3</v>
      </c>
      <c r="H1036" s="2">
        <v>38</v>
      </c>
      <c r="I1036" s="2">
        <v>114</v>
      </c>
      <c r="J1036" s="2">
        <v>61.54</v>
      </c>
      <c r="K1036" s="2">
        <v>52.46</v>
      </c>
      <c r="L1036" t="s">
        <v>17</v>
      </c>
    </row>
    <row r="1037" spans="1:12" x14ac:dyDescent="0.35">
      <c r="A1037" t="s">
        <v>1356</v>
      </c>
      <c r="B1037">
        <v>45416</v>
      </c>
      <c r="C1037" t="s">
        <v>1316</v>
      </c>
      <c r="D1037" t="s">
        <v>14</v>
      </c>
      <c r="E1037" t="s">
        <v>38</v>
      </c>
      <c r="F1037" t="s">
        <v>58</v>
      </c>
      <c r="G1037">
        <v>2</v>
      </c>
      <c r="H1037" s="2">
        <v>73</v>
      </c>
      <c r="I1037" s="2">
        <v>146</v>
      </c>
      <c r="J1037" s="2">
        <v>95.6</v>
      </c>
      <c r="K1037" s="2">
        <v>50.4</v>
      </c>
      <c r="L1037" t="s">
        <v>17</v>
      </c>
    </row>
    <row r="1038" spans="1:12" x14ac:dyDescent="0.35">
      <c r="A1038" t="s">
        <v>1357</v>
      </c>
      <c r="B1038">
        <v>45637</v>
      </c>
      <c r="C1038" t="s">
        <v>342</v>
      </c>
      <c r="D1038" t="s">
        <v>24</v>
      </c>
      <c r="E1038" t="s">
        <v>38</v>
      </c>
      <c r="F1038" t="s">
        <v>58</v>
      </c>
      <c r="G1038">
        <v>2</v>
      </c>
      <c r="H1038" s="2">
        <v>23</v>
      </c>
      <c r="I1038" s="2">
        <v>46</v>
      </c>
      <c r="J1038" s="2">
        <v>24.73</v>
      </c>
      <c r="K1038" s="2">
        <v>21.27</v>
      </c>
      <c r="L1038" t="s">
        <v>17</v>
      </c>
    </row>
    <row r="1039" spans="1:12" x14ac:dyDescent="0.35">
      <c r="A1039" t="s">
        <v>1358</v>
      </c>
      <c r="B1039">
        <v>45450</v>
      </c>
      <c r="C1039" t="s">
        <v>340</v>
      </c>
      <c r="D1039" t="s">
        <v>24</v>
      </c>
      <c r="E1039" t="s">
        <v>33</v>
      </c>
      <c r="F1039" t="s">
        <v>55</v>
      </c>
      <c r="G1039">
        <v>5</v>
      </c>
      <c r="H1039" s="2">
        <v>18</v>
      </c>
      <c r="I1039" s="2">
        <v>90</v>
      </c>
      <c r="J1039" s="2">
        <v>64.2</v>
      </c>
      <c r="K1039" s="2">
        <v>25.8</v>
      </c>
      <c r="L1039" t="s">
        <v>21</v>
      </c>
    </row>
    <row r="1040" spans="1:12" x14ac:dyDescent="0.35">
      <c r="A1040" t="s">
        <v>1359</v>
      </c>
      <c r="B1040">
        <v>45469</v>
      </c>
      <c r="C1040" t="s">
        <v>638</v>
      </c>
      <c r="D1040" t="s">
        <v>14</v>
      </c>
      <c r="E1040" t="s">
        <v>33</v>
      </c>
      <c r="F1040" t="s">
        <v>34</v>
      </c>
      <c r="G1040">
        <v>1</v>
      </c>
      <c r="H1040" s="2">
        <v>79</v>
      </c>
      <c r="I1040" s="2">
        <v>79</v>
      </c>
      <c r="J1040" s="2">
        <v>43.96</v>
      </c>
      <c r="K1040" s="2">
        <v>35.04</v>
      </c>
      <c r="L1040" t="s">
        <v>17</v>
      </c>
    </row>
    <row r="1041" spans="1:12" x14ac:dyDescent="0.35">
      <c r="A1041" t="s">
        <v>1360</v>
      </c>
      <c r="B1041">
        <v>45598</v>
      </c>
      <c r="C1041" t="s">
        <v>32</v>
      </c>
      <c r="D1041" t="s">
        <v>14</v>
      </c>
      <c r="E1041" t="s">
        <v>15</v>
      </c>
      <c r="F1041" t="s">
        <v>16</v>
      </c>
      <c r="G1041">
        <v>4</v>
      </c>
      <c r="H1041" s="2">
        <v>23</v>
      </c>
      <c r="I1041" s="2">
        <v>92</v>
      </c>
      <c r="J1041" s="2">
        <v>60.31</v>
      </c>
      <c r="K1041" s="2">
        <v>31.69</v>
      </c>
      <c r="L1041" t="s">
        <v>17</v>
      </c>
    </row>
    <row r="1042" spans="1:12" x14ac:dyDescent="0.35">
      <c r="A1042" t="s">
        <v>1361</v>
      </c>
      <c r="B1042">
        <v>45369</v>
      </c>
      <c r="C1042" t="s">
        <v>1362</v>
      </c>
      <c r="D1042" t="s">
        <v>28</v>
      </c>
      <c r="E1042" t="s">
        <v>15</v>
      </c>
      <c r="F1042" t="s">
        <v>16</v>
      </c>
      <c r="G1042">
        <v>4</v>
      </c>
      <c r="H1042" s="2">
        <v>67</v>
      </c>
      <c r="I1042" s="2">
        <v>268</v>
      </c>
      <c r="J1042" s="2">
        <v>156.01</v>
      </c>
      <c r="K1042" s="2">
        <v>111.99</v>
      </c>
      <c r="L1042" t="s">
        <v>17</v>
      </c>
    </row>
    <row r="1043" spans="1:12" x14ac:dyDescent="0.35">
      <c r="A1043" t="s">
        <v>1363</v>
      </c>
      <c r="B1043">
        <v>45571</v>
      </c>
      <c r="C1043" t="s">
        <v>103</v>
      </c>
      <c r="D1043" t="s">
        <v>24</v>
      </c>
      <c r="E1043" t="s">
        <v>29</v>
      </c>
      <c r="F1043" t="s">
        <v>30</v>
      </c>
      <c r="G1043">
        <v>4</v>
      </c>
      <c r="H1043" s="2">
        <v>95</v>
      </c>
      <c r="I1043" s="2">
        <v>380</v>
      </c>
      <c r="J1043" s="2">
        <v>289.8</v>
      </c>
      <c r="K1043" s="2">
        <v>90.2</v>
      </c>
      <c r="L1043" t="s">
        <v>21</v>
      </c>
    </row>
    <row r="1044" spans="1:12" x14ac:dyDescent="0.35">
      <c r="A1044" t="s">
        <v>1364</v>
      </c>
      <c r="B1044">
        <v>45559</v>
      </c>
      <c r="C1044" t="s">
        <v>216</v>
      </c>
      <c r="D1044" t="s">
        <v>28</v>
      </c>
      <c r="E1044" t="s">
        <v>15</v>
      </c>
      <c r="F1044" t="s">
        <v>16</v>
      </c>
      <c r="G1044">
        <v>4</v>
      </c>
      <c r="H1044" s="2">
        <v>77</v>
      </c>
      <c r="I1044" s="2">
        <v>308</v>
      </c>
      <c r="J1044" s="2">
        <v>221.52</v>
      </c>
      <c r="K1044" s="2">
        <v>86.48</v>
      </c>
      <c r="L1044" t="s">
        <v>17</v>
      </c>
    </row>
    <row r="1045" spans="1:12" x14ac:dyDescent="0.35">
      <c r="A1045" t="s">
        <v>1365</v>
      </c>
      <c r="B1045">
        <v>45301</v>
      </c>
      <c r="C1045" t="s">
        <v>762</v>
      </c>
      <c r="D1045" t="s">
        <v>42</v>
      </c>
      <c r="E1045" t="s">
        <v>29</v>
      </c>
      <c r="F1045" t="s">
        <v>43</v>
      </c>
      <c r="G1045">
        <v>2</v>
      </c>
      <c r="H1045" s="2">
        <v>72</v>
      </c>
      <c r="I1045" s="2">
        <v>144</v>
      </c>
      <c r="J1045" s="2">
        <v>92.95</v>
      </c>
      <c r="K1045" s="2">
        <v>51.05</v>
      </c>
      <c r="L1045" t="s">
        <v>44</v>
      </c>
    </row>
    <row r="1046" spans="1:12" x14ac:dyDescent="0.35">
      <c r="A1046" t="s">
        <v>1366</v>
      </c>
      <c r="B1046">
        <v>45329</v>
      </c>
      <c r="C1046" t="s">
        <v>889</v>
      </c>
      <c r="D1046" t="s">
        <v>24</v>
      </c>
      <c r="E1046" t="s">
        <v>38</v>
      </c>
      <c r="F1046" t="s">
        <v>52</v>
      </c>
      <c r="G1046">
        <v>3</v>
      </c>
      <c r="H1046" s="2">
        <v>72</v>
      </c>
      <c r="I1046" s="2">
        <v>216</v>
      </c>
      <c r="J1046" s="2">
        <v>125.85</v>
      </c>
      <c r="K1046" s="2">
        <v>90.15</v>
      </c>
      <c r="L1046" t="s">
        <v>35</v>
      </c>
    </row>
    <row r="1047" spans="1:12" x14ac:dyDescent="0.35">
      <c r="A1047" t="s">
        <v>1367</v>
      </c>
      <c r="B1047">
        <v>45506</v>
      </c>
      <c r="C1047" t="s">
        <v>516</v>
      </c>
      <c r="D1047" t="s">
        <v>28</v>
      </c>
      <c r="E1047" t="s">
        <v>38</v>
      </c>
      <c r="F1047" t="s">
        <v>58</v>
      </c>
      <c r="G1047">
        <v>3</v>
      </c>
      <c r="H1047" s="2">
        <v>73</v>
      </c>
      <c r="I1047" s="2">
        <v>219</v>
      </c>
      <c r="J1047" s="2">
        <v>167.67</v>
      </c>
      <c r="K1047" s="2">
        <v>51.33</v>
      </c>
      <c r="L1047" t="s">
        <v>44</v>
      </c>
    </row>
    <row r="1048" spans="1:12" x14ac:dyDescent="0.35">
      <c r="A1048" t="s">
        <v>1368</v>
      </c>
      <c r="B1048">
        <v>45655</v>
      </c>
      <c r="C1048" t="s">
        <v>538</v>
      </c>
      <c r="D1048" t="s">
        <v>42</v>
      </c>
      <c r="E1048" t="s">
        <v>29</v>
      </c>
      <c r="F1048" t="s">
        <v>47</v>
      </c>
      <c r="G1048">
        <v>4</v>
      </c>
      <c r="H1048" s="2">
        <v>39</v>
      </c>
      <c r="I1048" s="2">
        <v>156</v>
      </c>
      <c r="J1048" s="2">
        <v>104.14</v>
      </c>
      <c r="K1048" s="2">
        <v>51.86</v>
      </c>
      <c r="L1048" t="s">
        <v>44</v>
      </c>
    </row>
    <row r="1049" spans="1:12" x14ac:dyDescent="0.35">
      <c r="A1049" t="s">
        <v>1369</v>
      </c>
      <c r="B1049">
        <v>45595</v>
      </c>
      <c r="C1049" t="s">
        <v>418</v>
      </c>
      <c r="D1049" t="s">
        <v>42</v>
      </c>
      <c r="E1049" t="s">
        <v>15</v>
      </c>
      <c r="F1049" t="s">
        <v>25</v>
      </c>
      <c r="G1049">
        <v>1</v>
      </c>
      <c r="H1049" s="2">
        <v>61</v>
      </c>
      <c r="I1049" s="2">
        <v>61</v>
      </c>
      <c r="J1049" s="2">
        <v>40.729999999999997</v>
      </c>
      <c r="K1049" s="2">
        <v>20.27</v>
      </c>
      <c r="L1049" t="s">
        <v>17</v>
      </c>
    </row>
    <row r="1050" spans="1:12" x14ac:dyDescent="0.35">
      <c r="A1050" t="s">
        <v>1370</v>
      </c>
      <c r="B1050">
        <v>45499</v>
      </c>
      <c r="C1050" t="s">
        <v>601</v>
      </c>
      <c r="D1050" t="s">
        <v>28</v>
      </c>
      <c r="E1050" t="s">
        <v>15</v>
      </c>
      <c r="F1050" t="s">
        <v>16</v>
      </c>
      <c r="G1050">
        <v>4</v>
      </c>
      <c r="H1050" s="2">
        <v>50</v>
      </c>
      <c r="I1050" s="2">
        <v>200</v>
      </c>
      <c r="J1050" s="2">
        <v>151.04</v>
      </c>
      <c r="K1050" s="2">
        <v>48.96</v>
      </c>
      <c r="L1050" t="s">
        <v>35</v>
      </c>
    </row>
    <row r="1051" spans="1:12" x14ac:dyDescent="0.35">
      <c r="A1051" t="s">
        <v>1371</v>
      </c>
      <c r="B1051">
        <v>45399</v>
      </c>
      <c r="C1051" t="s">
        <v>889</v>
      </c>
      <c r="D1051" t="s">
        <v>42</v>
      </c>
      <c r="E1051" t="s">
        <v>33</v>
      </c>
      <c r="F1051" t="s">
        <v>34</v>
      </c>
      <c r="G1051">
        <v>1</v>
      </c>
      <c r="H1051" s="2">
        <v>28</v>
      </c>
      <c r="I1051" s="2">
        <v>28</v>
      </c>
      <c r="J1051" s="2">
        <v>18.48</v>
      </c>
      <c r="K1051" s="2">
        <v>9.52</v>
      </c>
      <c r="L1051" t="s">
        <v>21</v>
      </c>
    </row>
    <row r="1052" spans="1:12" x14ac:dyDescent="0.35">
      <c r="A1052" t="s">
        <v>1372</v>
      </c>
      <c r="B1052">
        <v>45416</v>
      </c>
      <c r="C1052" t="s">
        <v>538</v>
      </c>
      <c r="D1052" t="s">
        <v>24</v>
      </c>
      <c r="E1052" t="s">
        <v>15</v>
      </c>
      <c r="F1052" t="s">
        <v>16</v>
      </c>
      <c r="G1052">
        <v>5</v>
      </c>
      <c r="H1052" s="2">
        <v>87</v>
      </c>
      <c r="I1052" s="2">
        <v>435</v>
      </c>
      <c r="J1052" s="2">
        <v>335.14</v>
      </c>
      <c r="K1052" s="2">
        <v>99.86</v>
      </c>
      <c r="L1052" t="s">
        <v>35</v>
      </c>
    </row>
    <row r="1053" spans="1:12" x14ac:dyDescent="0.35">
      <c r="A1053" t="s">
        <v>1373</v>
      </c>
      <c r="B1053">
        <v>45472</v>
      </c>
      <c r="C1053" t="s">
        <v>114</v>
      </c>
      <c r="D1053" t="s">
        <v>24</v>
      </c>
      <c r="E1053" t="s">
        <v>15</v>
      </c>
      <c r="F1053" t="s">
        <v>20</v>
      </c>
      <c r="G1053">
        <v>1</v>
      </c>
      <c r="H1053" s="2">
        <v>13</v>
      </c>
      <c r="I1053" s="2">
        <v>13</v>
      </c>
      <c r="J1053" s="2">
        <v>8.66</v>
      </c>
      <c r="K1053" s="2">
        <v>4.34</v>
      </c>
      <c r="L1053" t="s">
        <v>44</v>
      </c>
    </row>
    <row r="1054" spans="1:12" x14ac:dyDescent="0.35">
      <c r="A1054" t="s">
        <v>1374</v>
      </c>
      <c r="B1054">
        <v>45314</v>
      </c>
      <c r="C1054" t="s">
        <v>590</v>
      </c>
      <c r="D1054" t="s">
        <v>24</v>
      </c>
      <c r="E1054" t="s">
        <v>33</v>
      </c>
      <c r="F1054" t="s">
        <v>55</v>
      </c>
      <c r="G1054">
        <v>1</v>
      </c>
      <c r="H1054" s="2">
        <v>59</v>
      </c>
      <c r="I1054" s="2">
        <v>59</v>
      </c>
      <c r="J1054" s="2">
        <v>34</v>
      </c>
      <c r="K1054" s="2">
        <v>25</v>
      </c>
      <c r="L1054" t="s">
        <v>21</v>
      </c>
    </row>
    <row r="1055" spans="1:12" x14ac:dyDescent="0.35">
      <c r="A1055" t="s">
        <v>1375</v>
      </c>
      <c r="B1055">
        <v>45364</v>
      </c>
      <c r="C1055" t="s">
        <v>649</v>
      </c>
      <c r="D1055" t="s">
        <v>24</v>
      </c>
      <c r="E1055" t="s">
        <v>38</v>
      </c>
      <c r="F1055" t="s">
        <v>52</v>
      </c>
      <c r="G1055">
        <v>3</v>
      </c>
      <c r="H1055" s="2">
        <v>55</v>
      </c>
      <c r="I1055" s="2">
        <v>165</v>
      </c>
      <c r="J1055" s="2">
        <v>107.96</v>
      </c>
      <c r="K1055" s="2">
        <v>57.04</v>
      </c>
      <c r="L1055" t="s">
        <v>35</v>
      </c>
    </row>
    <row r="1056" spans="1:12" x14ac:dyDescent="0.35">
      <c r="A1056" t="s">
        <v>1376</v>
      </c>
      <c r="B1056">
        <v>45451</v>
      </c>
      <c r="C1056" t="s">
        <v>578</v>
      </c>
      <c r="D1056" t="s">
        <v>28</v>
      </c>
      <c r="E1056" t="s">
        <v>33</v>
      </c>
      <c r="F1056" t="s">
        <v>55</v>
      </c>
      <c r="G1056">
        <v>4</v>
      </c>
      <c r="H1056" s="2">
        <v>68</v>
      </c>
      <c r="I1056" s="2">
        <v>272</v>
      </c>
      <c r="J1056" s="2">
        <v>143.54</v>
      </c>
      <c r="K1056" s="2">
        <v>128.46</v>
      </c>
      <c r="L1056" t="s">
        <v>44</v>
      </c>
    </row>
    <row r="1057" spans="1:12" x14ac:dyDescent="0.35">
      <c r="A1057" t="s">
        <v>1377</v>
      </c>
      <c r="B1057">
        <v>45326</v>
      </c>
      <c r="C1057" t="s">
        <v>414</v>
      </c>
      <c r="D1057" t="s">
        <v>28</v>
      </c>
      <c r="E1057" t="s">
        <v>38</v>
      </c>
      <c r="F1057" t="s">
        <v>39</v>
      </c>
      <c r="G1057">
        <v>1</v>
      </c>
      <c r="H1057" s="2">
        <v>99</v>
      </c>
      <c r="I1057" s="2">
        <v>99</v>
      </c>
      <c r="J1057" s="2">
        <v>62.23</v>
      </c>
      <c r="K1057" s="2">
        <v>36.770000000000003</v>
      </c>
      <c r="L1057" t="s">
        <v>21</v>
      </c>
    </row>
    <row r="1058" spans="1:12" x14ac:dyDescent="0.35">
      <c r="A1058" t="s">
        <v>1378</v>
      </c>
      <c r="B1058">
        <v>45628</v>
      </c>
      <c r="C1058" t="s">
        <v>1083</v>
      </c>
      <c r="D1058" t="s">
        <v>14</v>
      </c>
      <c r="E1058" t="s">
        <v>29</v>
      </c>
      <c r="F1058" t="s">
        <v>47</v>
      </c>
      <c r="G1058">
        <v>4</v>
      </c>
      <c r="H1058" s="2">
        <v>27</v>
      </c>
      <c r="I1058" s="2">
        <v>108</v>
      </c>
      <c r="J1058" s="2">
        <v>72.98</v>
      </c>
      <c r="K1058" s="2">
        <v>35.020000000000003</v>
      </c>
      <c r="L1058" t="s">
        <v>21</v>
      </c>
    </row>
    <row r="1059" spans="1:12" x14ac:dyDescent="0.35">
      <c r="A1059" t="s">
        <v>1379</v>
      </c>
      <c r="B1059">
        <v>45296</v>
      </c>
      <c r="C1059" t="s">
        <v>62</v>
      </c>
      <c r="D1059" t="s">
        <v>14</v>
      </c>
      <c r="E1059" t="s">
        <v>29</v>
      </c>
      <c r="F1059" t="s">
        <v>47</v>
      </c>
      <c r="G1059">
        <v>4</v>
      </c>
      <c r="H1059" s="2">
        <v>51</v>
      </c>
      <c r="I1059" s="2">
        <v>204</v>
      </c>
      <c r="J1059" s="2">
        <v>111.81</v>
      </c>
      <c r="K1059" s="2">
        <v>92.19</v>
      </c>
      <c r="L1059" t="s">
        <v>21</v>
      </c>
    </row>
    <row r="1060" spans="1:12" x14ac:dyDescent="0.35">
      <c r="A1060" t="s">
        <v>1380</v>
      </c>
      <c r="B1060">
        <v>45428</v>
      </c>
      <c r="C1060" t="s">
        <v>251</v>
      </c>
      <c r="D1060" t="s">
        <v>14</v>
      </c>
      <c r="E1060" t="s">
        <v>15</v>
      </c>
      <c r="F1060" t="s">
        <v>25</v>
      </c>
      <c r="G1060">
        <v>5</v>
      </c>
      <c r="H1060" s="2">
        <v>76</v>
      </c>
      <c r="I1060" s="2">
        <v>380</v>
      </c>
      <c r="J1060" s="2">
        <v>228.43</v>
      </c>
      <c r="K1060" s="2">
        <v>151.57</v>
      </c>
      <c r="L1060" t="s">
        <v>44</v>
      </c>
    </row>
    <row r="1061" spans="1:12" x14ac:dyDescent="0.35">
      <c r="A1061" t="s">
        <v>1381</v>
      </c>
      <c r="B1061">
        <v>45294</v>
      </c>
      <c r="C1061" t="s">
        <v>95</v>
      </c>
      <c r="D1061" t="s">
        <v>28</v>
      </c>
      <c r="E1061" t="s">
        <v>15</v>
      </c>
      <c r="F1061" t="s">
        <v>25</v>
      </c>
      <c r="G1061">
        <v>5</v>
      </c>
      <c r="H1061" s="2">
        <v>13</v>
      </c>
      <c r="I1061" s="2">
        <v>65</v>
      </c>
      <c r="J1061" s="2">
        <v>44.73</v>
      </c>
      <c r="K1061" s="2">
        <v>20.27</v>
      </c>
      <c r="L1061" t="s">
        <v>21</v>
      </c>
    </row>
    <row r="1062" spans="1:12" x14ac:dyDescent="0.35">
      <c r="A1062" t="s">
        <v>1382</v>
      </c>
      <c r="B1062">
        <v>45468</v>
      </c>
      <c r="C1062" t="s">
        <v>64</v>
      </c>
      <c r="D1062" t="s">
        <v>42</v>
      </c>
      <c r="E1062" t="s">
        <v>15</v>
      </c>
      <c r="F1062" t="s">
        <v>25</v>
      </c>
      <c r="G1062">
        <v>5</v>
      </c>
      <c r="H1062" s="2">
        <v>43</v>
      </c>
      <c r="I1062" s="2">
        <v>215</v>
      </c>
      <c r="J1062" s="2">
        <v>163.34</v>
      </c>
      <c r="K1062" s="2">
        <v>51.66</v>
      </c>
      <c r="L1062" t="s">
        <v>35</v>
      </c>
    </row>
    <row r="1063" spans="1:12" x14ac:dyDescent="0.35">
      <c r="A1063" t="s">
        <v>1383</v>
      </c>
      <c r="B1063">
        <v>45618</v>
      </c>
      <c r="C1063" t="s">
        <v>150</v>
      </c>
      <c r="D1063" t="s">
        <v>42</v>
      </c>
      <c r="E1063" t="s">
        <v>29</v>
      </c>
      <c r="F1063" t="s">
        <v>30</v>
      </c>
      <c r="G1063">
        <v>3</v>
      </c>
      <c r="H1063" s="2">
        <v>82</v>
      </c>
      <c r="I1063" s="2">
        <v>246</v>
      </c>
      <c r="J1063" s="2">
        <v>157.61000000000001</v>
      </c>
      <c r="K1063" s="2">
        <v>88.39</v>
      </c>
      <c r="L1063" t="s">
        <v>35</v>
      </c>
    </row>
    <row r="1064" spans="1:12" x14ac:dyDescent="0.35">
      <c r="A1064" t="s">
        <v>1384</v>
      </c>
      <c r="B1064">
        <v>45634</v>
      </c>
      <c r="C1064" t="s">
        <v>41</v>
      </c>
      <c r="D1064" t="s">
        <v>14</v>
      </c>
      <c r="E1064" t="s">
        <v>38</v>
      </c>
      <c r="F1064" t="s">
        <v>58</v>
      </c>
      <c r="G1064">
        <v>5</v>
      </c>
      <c r="H1064" s="2">
        <v>15</v>
      </c>
      <c r="I1064" s="2">
        <v>75</v>
      </c>
      <c r="J1064" s="2">
        <v>46.77</v>
      </c>
      <c r="K1064" s="2">
        <v>28.23</v>
      </c>
      <c r="L1064" t="s">
        <v>17</v>
      </c>
    </row>
    <row r="1065" spans="1:12" x14ac:dyDescent="0.35">
      <c r="A1065" t="s">
        <v>1385</v>
      </c>
      <c r="B1065">
        <v>45481</v>
      </c>
      <c r="C1065" t="s">
        <v>972</v>
      </c>
      <c r="D1065" t="s">
        <v>24</v>
      </c>
      <c r="E1065" t="s">
        <v>38</v>
      </c>
      <c r="F1065" t="s">
        <v>58</v>
      </c>
      <c r="G1065">
        <v>1</v>
      </c>
      <c r="H1065" s="2">
        <v>65</v>
      </c>
      <c r="I1065" s="2">
        <v>65</v>
      </c>
      <c r="J1065" s="2">
        <v>38.35</v>
      </c>
      <c r="K1065" s="2">
        <v>26.65</v>
      </c>
      <c r="L1065" t="s">
        <v>44</v>
      </c>
    </row>
    <row r="1066" spans="1:12" x14ac:dyDescent="0.35">
      <c r="A1066" t="s">
        <v>1386</v>
      </c>
      <c r="B1066">
        <v>45444</v>
      </c>
      <c r="C1066" t="s">
        <v>590</v>
      </c>
      <c r="D1066" t="s">
        <v>28</v>
      </c>
      <c r="E1066" t="s">
        <v>33</v>
      </c>
      <c r="F1066" t="s">
        <v>92</v>
      </c>
      <c r="G1066">
        <v>2</v>
      </c>
      <c r="H1066" s="2">
        <v>74</v>
      </c>
      <c r="I1066" s="2">
        <v>148</v>
      </c>
      <c r="J1066" s="2">
        <v>76.36</v>
      </c>
      <c r="K1066" s="2">
        <v>71.64</v>
      </c>
      <c r="L1066" t="s">
        <v>17</v>
      </c>
    </row>
    <row r="1067" spans="1:12" x14ac:dyDescent="0.35">
      <c r="A1067" t="s">
        <v>1387</v>
      </c>
      <c r="B1067">
        <v>45307</v>
      </c>
      <c r="C1067" t="s">
        <v>205</v>
      </c>
      <c r="D1067" t="s">
        <v>24</v>
      </c>
      <c r="E1067" t="s">
        <v>38</v>
      </c>
      <c r="F1067" t="s">
        <v>39</v>
      </c>
      <c r="G1067">
        <v>1</v>
      </c>
      <c r="H1067" s="2">
        <v>36</v>
      </c>
      <c r="I1067" s="2">
        <v>36</v>
      </c>
      <c r="J1067" s="2">
        <v>18.54</v>
      </c>
      <c r="K1067" s="2">
        <v>17.46</v>
      </c>
      <c r="L1067" t="s">
        <v>17</v>
      </c>
    </row>
    <row r="1068" spans="1:12" x14ac:dyDescent="0.35">
      <c r="A1068" t="s">
        <v>1388</v>
      </c>
      <c r="B1068">
        <v>45562</v>
      </c>
      <c r="C1068" t="s">
        <v>268</v>
      </c>
      <c r="D1068" t="s">
        <v>14</v>
      </c>
      <c r="E1068" t="s">
        <v>29</v>
      </c>
      <c r="F1068" t="s">
        <v>75</v>
      </c>
      <c r="G1068">
        <v>1</v>
      </c>
      <c r="H1068" s="2">
        <v>99</v>
      </c>
      <c r="I1068" s="2">
        <v>99</v>
      </c>
      <c r="J1068" s="2">
        <v>78.58</v>
      </c>
      <c r="K1068" s="2">
        <v>20.420000000000002</v>
      </c>
      <c r="L1068" t="s">
        <v>21</v>
      </c>
    </row>
    <row r="1069" spans="1:12" x14ac:dyDescent="0.35">
      <c r="A1069" t="s">
        <v>1389</v>
      </c>
      <c r="B1069">
        <v>45432</v>
      </c>
      <c r="C1069" t="s">
        <v>1040</v>
      </c>
      <c r="D1069" t="s">
        <v>28</v>
      </c>
      <c r="E1069" t="s">
        <v>33</v>
      </c>
      <c r="F1069" t="s">
        <v>55</v>
      </c>
      <c r="G1069">
        <v>1</v>
      </c>
      <c r="H1069" s="2">
        <v>82</v>
      </c>
      <c r="I1069" s="2">
        <v>82</v>
      </c>
      <c r="J1069" s="2">
        <v>61.27</v>
      </c>
      <c r="K1069" s="2">
        <v>20.73</v>
      </c>
      <c r="L1069" t="s">
        <v>44</v>
      </c>
    </row>
    <row r="1070" spans="1:12" x14ac:dyDescent="0.35">
      <c r="A1070" t="s">
        <v>1390</v>
      </c>
      <c r="B1070">
        <v>45339</v>
      </c>
      <c r="C1070" t="s">
        <v>412</v>
      </c>
      <c r="D1070" t="s">
        <v>28</v>
      </c>
      <c r="E1070" t="s">
        <v>33</v>
      </c>
      <c r="F1070" t="s">
        <v>55</v>
      </c>
      <c r="G1070">
        <v>3</v>
      </c>
      <c r="H1070" s="2">
        <v>52</v>
      </c>
      <c r="I1070" s="2">
        <v>156</v>
      </c>
      <c r="J1070" s="2">
        <v>93.9</v>
      </c>
      <c r="K1070" s="2">
        <v>62.1</v>
      </c>
      <c r="L1070" t="s">
        <v>21</v>
      </c>
    </row>
    <row r="1071" spans="1:12" x14ac:dyDescent="0.35">
      <c r="A1071" t="s">
        <v>1391</v>
      </c>
      <c r="B1071">
        <v>45360</v>
      </c>
      <c r="C1071" t="s">
        <v>1065</v>
      </c>
      <c r="D1071" t="s">
        <v>42</v>
      </c>
      <c r="E1071" t="s">
        <v>15</v>
      </c>
      <c r="F1071" t="s">
        <v>25</v>
      </c>
      <c r="G1071">
        <v>4</v>
      </c>
      <c r="H1071" s="2">
        <v>30</v>
      </c>
      <c r="I1071" s="2">
        <v>120</v>
      </c>
      <c r="J1071" s="2">
        <v>63.16</v>
      </c>
      <c r="K1071" s="2">
        <v>56.84</v>
      </c>
      <c r="L1071" t="s">
        <v>21</v>
      </c>
    </row>
    <row r="1072" spans="1:12" x14ac:dyDescent="0.35">
      <c r="A1072" t="s">
        <v>1392</v>
      </c>
      <c r="B1072">
        <v>45400</v>
      </c>
      <c r="C1072" t="s">
        <v>516</v>
      </c>
      <c r="D1072" t="s">
        <v>14</v>
      </c>
      <c r="E1072" t="s">
        <v>33</v>
      </c>
      <c r="F1072" t="s">
        <v>55</v>
      </c>
      <c r="G1072">
        <v>4</v>
      </c>
      <c r="H1072" s="2">
        <v>60</v>
      </c>
      <c r="I1072" s="2">
        <v>240</v>
      </c>
      <c r="J1072" s="2">
        <v>182.93</v>
      </c>
      <c r="K1072" s="2">
        <v>57.07</v>
      </c>
      <c r="L1072" t="s">
        <v>35</v>
      </c>
    </row>
    <row r="1073" spans="1:12" x14ac:dyDescent="0.35">
      <c r="A1073" t="s">
        <v>1393</v>
      </c>
      <c r="B1073">
        <v>45326</v>
      </c>
      <c r="C1073" t="s">
        <v>1394</v>
      </c>
      <c r="D1073" t="s">
        <v>42</v>
      </c>
      <c r="E1073" t="s">
        <v>29</v>
      </c>
      <c r="F1073" t="s">
        <v>43</v>
      </c>
      <c r="G1073">
        <v>2</v>
      </c>
      <c r="H1073" s="2">
        <v>37</v>
      </c>
      <c r="I1073" s="2">
        <v>74</v>
      </c>
      <c r="J1073" s="2">
        <v>58.61</v>
      </c>
      <c r="K1073" s="2">
        <v>15.39</v>
      </c>
      <c r="L1073" t="s">
        <v>44</v>
      </c>
    </row>
    <row r="1074" spans="1:12" x14ac:dyDescent="0.35">
      <c r="A1074" t="s">
        <v>1395</v>
      </c>
      <c r="B1074">
        <v>45471</v>
      </c>
      <c r="C1074" t="s">
        <v>1235</v>
      </c>
      <c r="D1074" t="s">
        <v>14</v>
      </c>
      <c r="E1074" t="s">
        <v>33</v>
      </c>
      <c r="F1074" t="s">
        <v>92</v>
      </c>
      <c r="G1074">
        <v>1</v>
      </c>
      <c r="H1074" s="2">
        <v>79</v>
      </c>
      <c r="I1074" s="2">
        <v>79</v>
      </c>
      <c r="J1074" s="2">
        <v>44.57</v>
      </c>
      <c r="K1074" s="2">
        <v>34.43</v>
      </c>
      <c r="L1074" t="s">
        <v>21</v>
      </c>
    </row>
    <row r="1075" spans="1:12" x14ac:dyDescent="0.35">
      <c r="A1075" t="s">
        <v>1396</v>
      </c>
      <c r="B1075">
        <v>45503</v>
      </c>
      <c r="C1075" t="s">
        <v>502</v>
      </c>
      <c r="D1075" t="s">
        <v>42</v>
      </c>
      <c r="E1075" t="s">
        <v>29</v>
      </c>
      <c r="F1075" t="s">
        <v>30</v>
      </c>
      <c r="G1075">
        <v>2</v>
      </c>
      <c r="H1075" s="2">
        <v>19</v>
      </c>
      <c r="I1075" s="2">
        <v>38</v>
      </c>
      <c r="J1075" s="2">
        <v>22.18</v>
      </c>
      <c r="K1075" s="2">
        <v>15.82</v>
      </c>
      <c r="L1075" t="s">
        <v>17</v>
      </c>
    </row>
    <row r="1076" spans="1:12" x14ac:dyDescent="0.35">
      <c r="A1076" t="s">
        <v>1397</v>
      </c>
      <c r="B1076">
        <v>45457</v>
      </c>
      <c r="C1076" t="s">
        <v>293</v>
      </c>
      <c r="D1076" t="s">
        <v>24</v>
      </c>
      <c r="E1076" t="s">
        <v>29</v>
      </c>
      <c r="F1076" t="s">
        <v>43</v>
      </c>
      <c r="G1076">
        <v>4</v>
      </c>
      <c r="H1076" s="2">
        <v>50</v>
      </c>
      <c r="I1076" s="2">
        <v>200</v>
      </c>
      <c r="J1076" s="2">
        <v>157</v>
      </c>
      <c r="K1076" s="2">
        <v>43</v>
      </c>
      <c r="L1076" t="s">
        <v>44</v>
      </c>
    </row>
    <row r="1077" spans="1:12" x14ac:dyDescent="0.35">
      <c r="A1077" t="s">
        <v>1398</v>
      </c>
      <c r="B1077">
        <v>45581</v>
      </c>
      <c r="C1077" t="s">
        <v>230</v>
      </c>
      <c r="D1077" t="s">
        <v>42</v>
      </c>
      <c r="E1077" t="s">
        <v>15</v>
      </c>
      <c r="F1077" t="s">
        <v>25</v>
      </c>
      <c r="G1077">
        <v>5</v>
      </c>
      <c r="H1077" s="2">
        <v>94</v>
      </c>
      <c r="I1077" s="2">
        <v>470</v>
      </c>
      <c r="J1077" s="2">
        <v>287.87</v>
      </c>
      <c r="K1077" s="2">
        <v>182.13</v>
      </c>
      <c r="L1077" t="s">
        <v>21</v>
      </c>
    </row>
    <row r="1078" spans="1:12" x14ac:dyDescent="0.35">
      <c r="A1078" t="s">
        <v>1399</v>
      </c>
      <c r="B1078">
        <v>45301</v>
      </c>
      <c r="C1078" t="s">
        <v>148</v>
      </c>
      <c r="D1078" t="s">
        <v>28</v>
      </c>
      <c r="E1078" t="s">
        <v>38</v>
      </c>
      <c r="F1078" t="s">
        <v>58</v>
      </c>
      <c r="G1078">
        <v>1</v>
      </c>
      <c r="H1078" s="2">
        <v>49</v>
      </c>
      <c r="I1078" s="2">
        <v>49</v>
      </c>
      <c r="J1078" s="2">
        <v>24.6</v>
      </c>
      <c r="K1078" s="2">
        <v>24.4</v>
      </c>
      <c r="L1078" t="s">
        <v>35</v>
      </c>
    </row>
    <row r="1079" spans="1:12" x14ac:dyDescent="0.35">
      <c r="A1079" t="s">
        <v>1400</v>
      </c>
      <c r="B1079">
        <v>45461</v>
      </c>
      <c r="C1079" t="s">
        <v>1235</v>
      </c>
      <c r="D1079" t="s">
        <v>28</v>
      </c>
      <c r="E1079" t="s">
        <v>29</v>
      </c>
      <c r="F1079" t="s">
        <v>30</v>
      </c>
      <c r="G1079">
        <v>3</v>
      </c>
      <c r="H1079" s="2">
        <v>53</v>
      </c>
      <c r="I1079" s="2">
        <v>159</v>
      </c>
      <c r="J1079" s="2">
        <v>104.45</v>
      </c>
      <c r="K1079" s="2">
        <v>54.55</v>
      </c>
      <c r="L1079" t="s">
        <v>44</v>
      </c>
    </row>
    <row r="1080" spans="1:12" x14ac:dyDescent="0.35">
      <c r="A1080" t="s">
        <v>1401</v>
      </c>
      <c r="B1080">
        <v>45630</v>
      </c>
      <c r="C1080" t="s">
        <v>846</v>
      </c>
      <c r="D1080" t="s">
        <v>28</v>
      </c>
      <c r="E1080" t="s">
        <v>33</v>
      </c>
      <c r="F1080" t="s">
        <v>92</v>
      </c>
      <c r="G1080">
        <v>3</v>
      </c>
      <c r="H1080" s="2">
        <v>93</v>
      </c>
      <c r="I1080" s="2">
        <v>279</v>
      </c>
      <c r="J1080" s="2">
        <v>143.82</v>
      </c>
      <c r="K1080" s="2">
        <v>135.18</v>
      </c>
      <c r="L1080" t="s">
        <v>21</v>
      </c>
    </row>
    <row r="1081" spans="1:12" x14ac:dyDescent="0.35">
      <c r="A1081" t="s">
        <v>1402</v>
      </c>
      <c r="B1081">
        <v>45531</v>
      </c>
      <c r="C1081" t="s">
        <v>189</v>
      </c>
      <c r="D1081" t="s">
        <v>24</v>
      </c>
      <c r="E1081" t="s">
        <v>38</v>
      </c>
      <c r="F1081" t="s">
        <v>52</v>
      </c>
      <c r="G1081">
        <v>1</v>
      </c>
      <c r="H1081" s="2">
        <v>68</v>
      </c>
      <c r="I1081" s="2">
        <v>68</v>
      </c>
      <c r="J1081" s="2">
        <v>40.64</v>
      </c>
      <c r="K1081" s="2">
        <v>27.36</v>
      </c>
      <c r="L1081" t="s">
        <v>35</v>
      </c>
    </row>
    <row r="1082" spans="1:12" x14ac:dyDescent="0.35">
      <c r="A1082" t="s">
        <v>1403</v>
      </c>
      <c r="B1082">
        <v>45556</v>
      </c>
      <c r="C1082" t="s">
        <v>404</v>
      </c>
      <c r="D1082" t="s">
        <v>14</v>
      </c>
      <c r="E1082" t="s">
        <v>15</v>
      </c>
      <c r="F1082" t="s">
        <v>16</v>
      </c>
      <c r="G1082">
        <v>2</v>
      </c>
      <c r="H1082" s="2">
        <v>47</v>
      </c>
      <c r="I1082" s="2">
        <v>94</v>
      </c>
      <c r="J1082" s="2">
        <v>55.43</v>
      </c>
      <c r="K1082" s="2">
        <v>38.57</v>
      </c>
      <c r="L1082" t="s">
        <v>17</v>
      </c>
    </row>
    <row r="1083" spans="1:12" x14ac:dyDescent="0.35">
      <c r="A1083" t="s">
        <v>1404</v>
      </c>
      <c r="B1083">
        <v>45319</v>
      </c>
      <c r="C1083" t="s">
        <v>502</v>
      </c>
      <c r="D1083" t="s">
        <v>14</v>
      </c>
      <c r="E1083" t="s">
        <v>33</v>
      </c>
      <c r="F1083" t="s">
        <v>92</v>
      </c>
      <c r="G1083">
        <v>2</v>
      </c>
      <c r="H1083" s="2">
        <v>70</v>
      </c>
      <c r="I1083" s="2">
        <v>140</v>
      </c>
      <c r="J1083" s="2">
        <v>110.48</v>
      </c>
      <c r="K1083" s="2">
        <v>29.52</v>
      </c>
      <c r="L1083" t="s">
        <v>44</v>
      </c>
    </row>
    <row r="1084" spans="1:12" x14ac:dyDescent="0.35">
      <c r="A1084" t="s">
        <v>1405</v>
      </c>
      <c r="B1084">
        <v>45600</v>
      </c>
      <c r="C1084" t="s">
        <v>426</v>
      </c>
      <c r="D1084" t="s">
        <v>24</v>
      </c>
      <c r="E1084" t="s">
        <v>29</v>
      </c>
      <c r="F1084" t="s">
        <v>75</v>
      </c>
      <c r="G1084">
        <v>2</v>
      </c>
      <c r="H1084" s="2">
        <v>62</v>
      </c>
      <c r="I1084" s="2">
        <v>124</v>
      </c>
      <c r="J1084" s="2">
        <v>69.28</v>
      </c>
      <c r="K1084" s="2">
        <v>54.72</v>
      </c>
      <c r="L1084" t="s">
        <v>44</v>
      </c>
    </row>
    <row r="1085" spans="1:12" x14ac:dyDescent="0.35">
      <c r="A1085" t="s">
        <v>1406</v>
      </c>
      <c r="B1085">
        <v>45344</v>
      </c>
      <c r="C1085" t="s">
        <v>478</v>
      </c>
      <c r="D1085" t="s">
        <v>14</v>
      </c>
      <c r="E1085" t="s">
        <v>38</v>
      </c>
      <c r="F1085" t="s">
        <v>39</v>
      </c>
      <c r="G1085">
        <v>2</v>
      </c>
      <c r="H1085" s="2">
        <v>92</v>
      </c>
      <c r="I1085" s="2">
        <v>184</v>
      </c>
      <c r="J1085" s="2">
        <v>123.64</v>
      </c>
      <c r="K1085" s="2">
        <v>60.36</v>
      </c>
      <c r="L1085" t="s">
        <v>35</v>
      </c>
    </row>
    <row r="1086" spans="1:12" x14ac:dyDescent="0.35">
      <c r="A1086" t="s">
        <v>1407</v>
      </c>
      <c r="B1086">
        <v>45652</v>
      </c>
      <c r="C1086" t="s">
        <v>241</v>
      </c>
      <c r="D1086" t="s">
        <v>42</v>
      </c>
      <c r="E1086" t="s">
        <v>29</v>
      </c>
      <c r="F1086" t="s">
        <v>30</v>
      </c>
      <c r="G1086">
        <v>4</v>
      </c>
      <c r="H1086" s="2">
        <v>66</v>
      </c>
      <c r="I1086" s="2">
        <v>264</v>
      </c>
      <c r="J1086" s="2">
        <v>177.85</v>
      </c>
      <c r="K1086" s="2">
        <v>86.15</v>
      </c>
      <c r="L1086" t="s">
        <v>21</v>
      </c>
    </row>
    <row r="1087" spans="1:12" x14ac:dyDescent="0.35">
      <c r="A1087" t="s">
        <v>1408</v>
      </c>
      <c r="B1087">
        <v>45485</v>
      </c>
      <c r="C1087" t="s">
        <v>216</v>
      </c>
      <c r="D1087" t="s">
        <v>28</v>
      </c>
      <c r="E1087" t="s">
        <v>29</v>
      </c>
      <c r="F1087" t="s">
        <v>43</v>
      </c>
      <c r="G1087">
        <v>1</v>
      </c>
      <c r="H1087" s="2">
        <v>36</v>
      </c>
      <c r="I1087" s="2">
        <v>36</v>
      </c>
      <c r="J1087" s="2">
        <v>24.72</v>
      </c>
      <c r="K1087" s="2">
        <v>11.28</v>
      </c>
      <c r="L1087" t="s">
        <v>44</v>
      </c>
    </row>
    <row r="1088" spans="1:12" x14ac:dyDescent="0.35">
      <c r="A1088" t="s">
        <v>1409</v>
      </c>
      <c r="B1088">
        <v>45474</v>
      </c>
      <c r="C1088" t="s">
        <v>175</v>
      </c>
      <c r="D1088" t="s">
        <v>42</v>
      </c>
      <c r="E1088" t="s">
        <v>33</v>
      </c>
      <c r="F1088" t="s">
        <v>34</v>
      </c>
      <c r="G1088">
        <v>3</v>
      </c>
      <c r="H1088" s="2">
        <v>50</v>
      </c>
      <c r="I1088" s="2">
        <v>150</v>
      </c>
      <c r="J1088" s="2">
        <v>94.97</v>
      </c>
      <c r="K1088" s="2">
        <v>55.03</v>
      </c>
      <c r="L1088" t="s">
        <v>17</v>
      </c>
    </row>
    <row r="1089" spans="1:12" x14ac:dyDescent="0.35">
      <c r="A1089" t="s">
        <v>1410</v>
      </c>
      <c r="B1089">
        <v>45538</v>
      </c>
      <c r="C1089" t="s">
        <v>222</v>
      </c>
      <c r="D1089" t="s">
        <v>42</v>
      </c>
      <c r="E1089" t="s">
        <v>33</v>
      </c>
      <c r="F1089" t="s">
        <v>55</v>
      </c>
      <c r="G1089">
        <v>1</v>
      </c>
      <c r="H1089" s="2">
        <v>68</v>
      </c>
      <c r="I1089" s="2">
        <v>68</v>
      </c>
      <c r="J1089" s="2">
        <v>44.26</v>
      </c>
      <c r="K1089" s="2">
        <v>23.74</v>
      </c>
      <c r="L1089" t="s">
        <v>35</v>
      </c>
    </row>
    <row r="1090" spans="1:12" x14ac:dyDescent="0.35">
      <c r="A1090" t="s">
        <v>1411</v>
      </c>
      <c r="B1090">
        <v>45582</v>
      </c>
      <c r="C1090" t="s">
        <v>1412</v>
      </c>
      <c r="D1090" t="s">
        <v>14</v>
      </c>
      <c r="E1090" t="s">
        <v>15</v>
      </c>
      <c r="F1090" t="s">
        <v>20</v>
      </c>
      <c r="G1090">
        <v>5</v>
      </c>
      <c r="H1090" s="2">
        <v>21</v>
      </c>
      <c r="I1090" s="2">
        <v>105</v>
      </c>
      <c r="J1090" s="2">
        <v>76.849999999999994</v>
      </c>
      <c r="K1090" s="2">
        <v>28.15</v>
      </c>
      <c r="L1090" t="s">
        <v>21</v>
      </c>
    </row>
    <row r="1091" spans="1:12" x14ac:dyDescent="0.35">
      <c r="A1091" t="s">
        <v>1413</v>
      </c>
      <c r="B1091">
        <v>45321</v>
      </c>
      <c r="C1091" t="s">
        <v>97</v>
      </c>
      <c r="D1091" t="s">
        <v>28</v>
      </c>
      <c r="E1091" t="s">
        <v>29</v>
      </c>
      <c r="F1091" t="s">
        <v>75</v>
      </c>
      <c r="G1091">
        <v>4</v>
      </c>
      <c r="H1091" s="2">
        <v>13</v>
      </c>
      <c r="I1091" s="2">
        <v>52</v>
      </c>
      <c r="J1091" s="2">
        <v>27.92</v>
      </c>
      <c r="K1091" s="2">
        <v>24.08</v>
      </c>
      <c r="L1091" t="s">
        <v>44</v>
      </c>
    </row>
    <row r="1092" spans="1:12" x14ac:dyDescent="0.35">
      <c r="A1092" t="s">
        <v>1414</v>
      </c>
      <c r="B1092">
        <v>45338</v>
      </c>
      <c r="C1092" t="s">
        <v>95</v>
      </c>
      <c r="D1092" t="s">
        <v>28</v>
      </c>
      <c r="E1092" t="s">
        <v>15</v>
      </c>
      <c r="F1092" t="s">
        <v>16</v>
      </c>
      <c r="G1092">
        <v>5</v>
      </c>
      <c r="H1092" s="2">
        <v>96</v>
      </c>
      <c r="I1092" s="2">
        <v>480</v>
      </c>
      <c r="J1092" s="2">
        <v>357.63</v>
      </c>
      <c r="K1092" s="2">
        <v>122.37</v>
      </c>
      <c r="L1092" t="s">
        <v>44</v>
      </c>
    </row>
    <row r="1093" spans="1:12" x14ac:dyDescent="0.35">
      <c r="A1093" t="s">
        <v>1415</v>
      </c>
      <c r="B1093">
        <v>45419</v>
      </c>
      <c r="C1093" t="s">
        <v>169</v>
      </c>
      <c r="D1093" t="s">
        <v>28</v>
      </c>
      <c r="E1093" t="s">
        <v>29</v>
      </c>
      <c r="F1093" t="s">
        <v>47</v>
      </c>
      <c r="G1093">
        <v>3</v>
      </c>
      <c r="H1093" s="2">
        <v>29</v>
      </c>
      <c r="I1093" s="2">
        <v>87</v>
      </c>
      <c r="J1093" s="2">
        <v>45.35</v>
      </c>
      <c r="K1093" s="2">
        <v>41.65</v>
      </c>
      <c r="L1093" t="s">
        <v>17</v>
      </c>
    </row>
    <row r="1094" spans="1:12" x14ac:dyDescent="0.35">
      <c r="A1094" t="s">
        <v>1416</v>
      </c>
      <c r="B1094">
        <v>45386</v>
      </c>
      <c r="C1094" t="s">
        <v>710</v>
      </c>
      <c r="D1094" t="s">
        <v>14</v>
      </c>
      <c r="E1094" t="s">
        <v>15</v>
      </c>
      <c r="F1094" t="s">
        <v>16</v>
      </c>
      <c r="G1094">
        <v>1</v>
      </c>
      <c r="H1094" s="2">
        <v>29</v>
      </c>
      <c r="I1094" s="2">
        <v>29</v>
      </c>
      <c r="J1094" s="2">
        <v>18.3</v>
      </c>
      <c r="K1094" s="2">
        <v>10.7</v>
      </c>
      <c r="L1094" t="s">
        <v>35</v>
      </c>
    </row>
    <row r="1095" spans="1:12" x14ac:dyDescent="0.35">
      <c r="A1095" t="s">
        <v>1417</v>
      </c>
      <c r="B1095">
        <v>45477</v>
      </c>
      <c r="C1095" t="s">
        <v>491</v>
      </c>
      <c r="D1095" t="s">
        <v>14</v>
      </c>
      <c r="E1095" t="s">
        <v>38</v>
      </c>
      <c r="F1095" t="s">
        <v>58</v>
      </c>
      <c r="G1095">
        <v>5</v>
      </c>
      <c r="H1095" s="2">
        <v>82</v>
      </c>
      <c r="I1095" s="2">
        <v>410</v>
      </c>
      <c r="J1095" s="2">
        <v>282.67</v>
      </c>
      <c r="K1095" s="2">
        <v>127.33</v>
      </c>
      <c r="L1095" t="s">
        <v>21</v>
      </c>
    </row>
    <row r="1096" spans="1:12" x14ac:dyDescent="0.35">
      <c r="A1096" t="s">
        <v>1418</v>
      </c>
      <c r="B1096">
        <v>45342</v>
      </c>
      <c r="C1096" t="s">
        <v>91</v>
      </c>
      <c r="D1096" t="s">
        <v>28</v>
      </c>
      <c r="E1096" t="s">
        <v>33</v>
      </c>
      <c r="F1096" t="s">
        <v>92</v>
      </c>
      <c r="G1096">
        <v>5</v>
      </c>
      <c r="H1096" s="2">
        <v>55</v>
      </c>
      <c r="I1096" s="2">
        <v>275</v>
      </c>
      <c r="J1096" s="2">
        <v>170.34</v>
      </c>
      <c r="K1096" s="2">
        <v>104.66</v>
      </c>
      <c r="L1096" t="s">
        <v>21</v>
      </c>
    </row>
    <row r="1097" spans="1:12" x14ac:dyDescent="0.35">
      <c r="A1097" t="s">
        <v>1419</v>
      </c>
      <c r="B1097">
        <v>45566</v>
      </c>
      <c r="C1097" t="s">
        <v>365</v>
      </c>
      <c r="D1097" t="s">
        <v>14</v>
      </c>
      <c r="E1097" t="s">
        <v>33</v>
      </c>
      <c r="F1097" t="s">
        <v>92</v>
      </c>
      <c r="G1097">
        <v>2</v>
      </c>
      <c r="H1097" s="2">
        <v>30</v>
      </c>
      <c r="I1097" s="2">
        <v>60</v>
      </c>
      <c r="J1097" s="2">
        <v>32.799999999999997</v>
      </c>
      <c r="K1097" s="2">
        <v>27.2</v>
      </c>
      <c r="L1097" t="s">
        <v>17</v>
      </c>
    </row>
    <row r="1098" spans="1:12" x14ac:dyDescent="0.35">
      <c r="A1098" t="s">
        <v>1420</v>
      </c>
      <c r="B1098">
        <v>45393</v>
      </c>
      <c r="C1098" t="s">
        <v>647</v>
      </c>
      <c r="D1098" t="s">
        <v>28</v>
      </c>
      <c r="E1098" t="s">
        <v>29</v>
      </c>
      <c r="F1098" t="s">
        <v>75</v>
      </c>
      <c r="G1098">
        <v>5</v>
      </c>
      <c r="H1098" s="2">
        <v>54</v>
      </c>
      <c r="I1098" s="2">
        <v>270</v>
      </c>
      <c r="J1098" s="2">
        <v>178.89</v>
      </c>
      <c r="K1098" s="2">
        <v>91.11</v>
      </c>
      <c r="L1098" t="s">
        <v>17</v>
      </c>
    </row>
    <row r="1099" spans="1:12" x14ac:dyDescent="0.35">
      <c r="A1099" t="s">
        <v>1421</v>
      </c>
      <c r="B1099">
        <v>45604</v>
      </c>
      <c r="C1099" t="s">
        <v>293</v>
      </c>
      <c r="D1099" t="s">
        <v>24</v>
      </c>
      <c r="E1099" t="s">
        <v>33</v>
      </c>
      <c r="F1099" t="s">
        <v>34</v>
      </c>
      <c r="G1099">
        <v>4</v>
      </c>
      <c r="H1099" s="2">
        <v>22</v>
      </c>
      <c r="I1099" s="2">
        <v>88</v>
      </c>
      <c r="J1099" s="2">
        <v>62.95</v>
      </c>
      <c r="K1099" s="2">
        <v>25.05</v>
      </c>
      <c r="L1099" t="s">
        <v>35</v>
      </c>
    </row>
    <row r="1100" spans="1:12" x14ac:dyDescent="0.35">
      <c r="A1100" t="s">
        <v>1422</v>
      </c>
      <c r="B1100">
        <v>45520</v>
      </c>
      <c r="C1100" t="s">
        <v>224</v>
      </c>
      <c r="D1100" t="s">
        <v>14</v>
      </c>
      <c r="E1100" t="s">
        <v>15</v>
      </c>
      <c r="F1100" t="s">
        <v>25</v>
      </c>
      <c r="G1100">
        <v>5</v>
      </c>
      <c r="H1100" s="2">
        <v>57</v>
      </c>
      <c r="I1100" s="2">
        <v>285</v>
      </c>
      <c r="J1100" s="2">
        <v>182.45</v>
      </c>
      <c r="K1100" s="2">
        <v>102.55</v>
      </c>
      <c r="L1100" t="s">
        <v>21</v>
      </c>
    </row>
    <row r="1101" spans="1:12" x14ac:dyDescent="0.35">
      <c r="A1101" t="s">
        <v>1423</v>
      </c>
      <c r="B1101">
        <v>45512</v>
      </c>
      <c r="C1101" t="s">
        <v>332</v>
      </c>
      <c r="D1101" t="s">
        <v>28</v>
      </c>
      <c r="E1101" t="s">
        <v>33</v>
      </c>
      <c r="F1101" t="s">
        <v>55</v>
      </c>
      <c r="G1101">
        <v>1</v>
      </c>
      <c r="H1101" s="2">
        <v>44</v>
      </c>
      <c r="I1101" s="2">
        <v>44</v>
      </c>
      <c r="J1101" s="2">
        <v>25.72</v>
      </c>
      <c r="K1101" s="2">
        <v>18.28</v>
      </c>
      <c r="L1101" t="s">
        <v>21</v>
      </c>
    </row>
    <row r="1102" spans="1:12" x14ac:dyDescent="0.35">
      <c r="A1102" t="s">
        <v>1424</v>
      </c>
      <c r="B1102">
        <v>45318</v>
      </c>
      <c r="C1102" t="s">
        <v>885</v>
      </c>
      <c r="D1102" t="s">
        <v>14</v>
      </c>
      <c r="E1102" t="s">
        <v>33</v>
      </c>
      <c r="F1102" t="s">
        <v>34</v>
      </c>
      <c r="G1102">
        <v>2</v>
      </c>
      <c r="H1102" s="2">
        <v>73</v>
      </c>
      <c r="I1102" s="2">
        <v>146</v>
      </c>
      <c r="J1102" s="2">
        <v>104.69</v>
      </c>
      <c r="K1102" s="2">
        <v>41.31</v>
      </c>
      <c r="L1102" t="s">
        <v>35</v>
      </c>
    </row>
    <row r="1103" spans="1:12" x14ac:dyDescent="0.35">
      <c r="A1103" t="s">
        <v>1425</v>
      </c>
      <c r="B1103">
        <v>45390</v>
      </c>
      <c r="C1103" t="s">
        <v>148</v>
      </c>
      <c r="D1103" t="s">
        <v>28</v>
      </c>
      <c r="E1103" t="s">
        <v>29</v>
      </c>
      <c r="F1103" t="s">
        <v>43</v>
      </c>
      <c r="G1103">
        <v>5</v>
      </c>
      <c r="H1103" s="2">
        <v>48</v>
      </c>
      <c r="I1103" s="2">
        <v>240</v>
      </c>
      <c r="J1103" s="2">
        <v>155.18</v>
      </c>
      <c r="K1103" s="2">
        <v>84.82</v>
      </c>
      <c r="L1103" t="s">
        <v>21</v>
      </c>
    </row>
    <row r="1104" spans="1:12" x14ac:dyDescent="0.35">
      <c r="A1104" t="s">
        <v>1426</v>
      </c>
      <c r="B1104">
        <v>45329</v>
      </c>
      <c r="C1104" t="s">
        <v>1427</v>
      </c>
      <c r="D1104" t="s">
        <v>14</v>
      </c>
      <c r="E1104" t="s">
        <v>29</v>
      </c>
      <c r="F1104" t="s">
        <v>75</v>
      </c>
      <c r="G1104">
        <v>1</v>
      </c>
      <c r="H1104" s="2">
        <v>32</v>
      </c>
      <c r="I1104" s="2">
        <v>32</v>
      </c>
      <c r="J1104" s="2">
        <v>17.84</v>
      </c>
      <c r="K1104" s="2">
        <v>14.16</v>
      </c>
      <c r="L1104" t="s">
        <v>17</v>
      </c>
    </row>
    <row r="1105" spans="1:12" x14ac:dyDescent="0.35">
      <c r="A1105" t="s">
        <v>1428</v>
      </c>
      <c r="B1105">
        <v>45383</v>
      </c>
      <c r="C1105" t="s">
        <v>391</v>
      </c>
      <c r="D1105" t="s">
        <v>42</v>
      </c>
      <c r="E1105" t="s">
        <v>33</v>
      </c>
      <c r="F1105" t="s">
        <v>34</v>
      </c>
      <c r="G1105">
        <v>3</v>
      </c>
      <c r="H1105" s="2">
        <v>35</v>
      </c>
      <c r="I1105" s="2">
        <v>105</v>
      </c>
      <c r="J1105" s="2">
        <v>72.87</v>
      </c>
      <c r="K1105" s="2">
        <v>32.130000000000003</v>
      </c>
      <c r="L1105" t="s">
        <v>44</v>
      </c>
    </row>
    <row r="1106" spans="1:12" x14ac:dyDescent="0.35">
      <c r="A1106" t="s">
        <v>1429</v>
      </c>
      <c r="B1106">
        <v>45538</v>
      </c>
      <c r="C1106" t="s">
        <v>478</v>
      </c>
      <c r="D1106" t="s">
        <v>42</v>
      </c>
      <c r="E1106" t="s">
        <v>29</v>
      </c>
      <c r="F1106" t="s">
        <v>75</v>
      </c>
      <c r="G1106">
        <v>4</v>
      </c>
      <c r="H1106" s="2">
        <v>88</v>
      </c>
      <c r="I1106" s="2">
        <v>352</v>
      </c>
      <c r="J1106" s="2">
        <v>181.63</v>
      </c>
      <c r="K1106" s="2">
        <v>170.37</v>
      </c>
      <c r="L1106" t="s">
        <v>21</v>
      </c>
    </row>
    <row r="1107" spans="1:12" x14ac:dyDescent="0.35">
      <c r="A1107" t="s">
        <v>1430</v>
      </c>
      <c r="B1107">
        <v>45424</v>
      </c>
      <c r="C1107" t="s">
        <v>328</v>
      </c>
      <c r="D1107" t="s">
        <v>14</v>
      </c>
      <c r="E1107" t="s">
        <v>15</v>
      </c>
      <c r="F1107" t="s">
        <v>20</v>
      </c>
      <c r="G1107">
        <v>3</v>
      </c>
      <c r="H1107" s="2">
        <v>40</v>
      </c>
      <c r="I1107" s="2">
        <v>120</v>
      </c>
      <c r="J1107" s="2">
        <v>88.67</v>
      </c>
      <c r="K1107" s="2">
        <v>31.33</v>
      </c>
      <c r="L1107" t="s">
        <v>21</v>
      </c>
    </row>
    <row r="1108" spans="1:12" x14ac:dyDescent="0.35">
      <c r="A1108" t="s">
        <v>1431</v>
      </c>
      <c r="B1108">
        <v>45357</v>
      </c>
      <c r="C1108" t="s">
        <v>950</v>
      </c>
      <c r="D1108" t="s">
        <v>24</v>
      </c>
      <c r="E1108" t="s">
        <v>33</v>
      </c>
      <c r="F1108" t="s">
        <v>55</v>
      </c>
      <c r="G1108">
        <v>3</v>
      </c>
      <c r="H1108" s="2">
        <v>36</v>
      </c>
      <c r="I1108" s="2">
        <v>108</v>
      </c>
      <c r="J1108" s="2">
        <v>63.12</v>
      </c>
      <c r="K1108" s="2">
        <v>44.88</v>
      </c>
      <c r="L1108" t="s">
        <v>44</v>
      </c>
    </row>
    <row r="1109" spans="1:12" x14ac:dyDescent="0.35">
      <c r="A1109" t="s">
        <v>1432</v>
      </c>
      <c r="B1109">
        <v>45407</v>
      </c>
      <c r="C1109" t="s">
        <v>410</v>
      </c>
      <c r="D1109" t="s">
        <v>42</v>
      </c>
      <c r="E1109" t="s">
        <v>33</v>
      </c>
      <c r="F1109" t="s">
        <v>92</v>
      </c>
      <c r="G1109">
        <v>5</v>
      </c>
      <c r="H1109" s="2">
        <v>49</v>
      </c>
      <c r="I1109" s="2">
        <v>245</v>
      </c>
      <c r="J1109" s="2">
        <v>152.43</v>
      </c>
      <c r="K1109" s="2">
        <v>92.57</v>
      </c>
      <c r="L1109" t="s">
        <v>44</v>
      </c>
    </row>
    <row r="1110" spans="1:12" x14ac:dyDescent="0.35">
      <c r="A1110" t="s">
        <v>1433</v>
      </c>
      <c r="B1110">
        <v>45604</v>
      </c>
      <c r="C1110" t="s">
        <v>326</v>
      </c>
      <c r="D1110" t="s">
        <v>24</v>
      </c>
      <c r="E1110" t="s">
        <v>29</v>
      </c>
      <c r="F1110" t="s">
        <v>75</v>
      </c>
      <c r="G1110">
        <v>4</v>
      </c>
      <c r="H1110" s="2">
        <v>98</v>
      </c>
      <c r="I1110" s="2">
        <v>392</v>
      </c>
      <c r="J1110" s="2">
        <v>198.46</v>
      </c>
      <c r="K1110" s="2">
        <v>193.54</v>
      </c>
      <c r="L1110" t="s">
        <v>21</v>
      </c>
    </row>
    <row r="1111" spans="1:12" x14ac:dyDescent="0.35">
      <c r="A1111" t="s">
        <v>1434</v>
      </c>
      <c r="B1111">
        <v>45628</v>
      </c>
      <c r="C1111" t="s">
        <v>257</v>
      </c>
      <c r="D1111" t="s">
        <v>14</v>
      </c>
      <c r="E1111" t="s">
        <v>38</v>
      </c>
      <c r="F1111" t="s">
        <v>39</v>
      </c>
      <c r="G1111">
        <v>3</v>
      </c>
      <c r="H1111" s="2">
        <v>31</v>
      </c>
      <c r="I1111" s="2">
        <v>93</v>
      </c>
      <c r="J1111" s="2">
        <v>51.56</v>
      </c>
      <c r="K1111" s="2">
        <v>41.44</v>
      </c>
      <c r="L1111" t="s">
        <v>21</v>
      </c>
    </row>
    <row r="1112" spans="1:12" x14ac:dyDescent="0.35">
      <c r="A1112" t="s">
        <v>1435</v>
      </c>
      <c r="B1112">
        <v>45337</v>
      </c>
      <c r="C1112" t="s">
        <v>1245</v>
      </c>
      <c r="D1112" t="s">
        <v>28</v>
      </c>
      <c r="E1112" t="s">
        <v>38</v>
      </c>
      <c r="F1112" t="s">
        <v>52</v>
      </c>
      <c r="G1112">
        <v>2</v>
      </c>
      <c r="H1112" s="2">
        <v>53</v>
      </c>
      <c r="I1112" s="2">
        <v>106</v>
      </c>
      <c r="J1112" s="2">
        <v>62.84</v>
      </c>
      <c r="K1112" s="2">
        <v>43.16</v>
      </c>
      <c r="L1112" t="s">
        <v>35</v>
      </c>
    </row>
    <row r="1113" spans="1:12" x14ac:dyDescent="0.35">
      <c r="A1113" t="s">
        <v>1436</v>
      </c>
      <c r="B1113">
        <v>45542</v>
      </c>
      <c r="C1113" t="s">
        <v>328</v>
      </c>
      <c r="D1113" t="s">
        <v>24</v>
      </c>
      <c r="E1113" t="s">
        <v>38</v>
      </c>
      <c r="F1113" t="s">
        <v>52</v>
      </c>
      <c r="G1113">
        <v>2</v>
      </c>
      <c r="H1113" s="2">
        <v>24</v>
      </c>
      <c r="I1113" s="2">
        <v>48</v>
      </c>
      <c r="J1113" s="2">
        <v>28.01</v>
      </c>
      <c r="K1113" s="2">
        <v>19.989999999999998</v>
      </c>
      <c r="L1113" t="s">
        <v>17</v>
      </c>
    </row>
    <row r="1114" spans="1:12" x14ac:dyDescent="0.35">
      <c r="A1114" t="s">
        <v>1437</v>
      </c>
      <c r="B1114">
        <v>45540</v>
      </c>
      <c r="C1114" t="s">
        <v>354</v>
      </c>
      <c r="D1114" t="s">
        <v>24</v>
      </c>
      <c r="E1114" t="s">
        <v>33</v>
      </c>
      <c r="F1114" t="s">
        <v>55</v>
      </c>
      <c r="G1114">
        <v>3</v>
      </c>
      <c r="H1114" s="2">
        <v>79</v>
      </c>
      <c r="I1114" s="2">
        <v>237</v>
      </c>
      <c r="J1114" s="2">
        <v>119.18</v>
      </c>
      <c r="K1114" s="2">
        <v>117.82</v>
      </c>
      <c r="L1114" t="s">
        <v>44</v>
      </c>
    </row>
    <row r="1115" spans="1:12" x14ac:dyDescent="0.35">
      <c r="A1115" t="s">
        <v>1438</v>
      </c>
      <c r="B1115">
        <v>45548</v>
      </c>
      <c r="C1115" t="s">
        <v>153</v>
      </c>
      <c r="D1115" t="s">
        <v>24</v>
      </c>
      <c r="E1115" t="s">
        <v>33</v>
      </c>
      <c r="F1115" t="s">
        <v>92</v>
      </c>
      <c r="G1115">
        <v>1</v>
      </c>
      <c r="H1115" s="2">
        <v>59</v>
      </c>
      <c r="I1115" s="2">
        <v>59</v>
      </c>
      <c r="J1115" s="2">
        <v>42.29</v>
      </c>
      <c r="K1115" s="2">
        <v>16.71</v>
      </c>
      <c r="L1115" t="s">
        <v>21</v>
      </c>
    </row>
    <row r="1116" spans="1:12" x14ac:dyDescent="0.35">
      <c r="A1116" t="s">
        <v>1439</v>
      </c>
      <c r="B1116">
        <v>45306</v>
      </c>
      <c r="C1116" t="s">
        <v>972</v>
      </c>
      <c r="D1116" t="s">
        <v>14</v>
      </c>
      <c r="E1116" t="s">
        <v>29</v>
      </c>
      <c r="F1116" t="s">
        <v>30</v>
      </c>
      <c r="G1116">
        <v>2</v>
      </c>
      <c r="H1116" s="2">
        <v>38</v>
      </c>
      <c r="I1116" s="2">
        <v>76</v>
      </c>
      <c r="J1116" s="2">
        <v>52.47</v>
      </c>
      <c r="K1116" s="2">
        <v>23.53</v>
      </c>
      <c r="L1116" t="s">
        <v>17</v>
      </c>
    </row>
    <row r="1117" spans="1:12" x14ac:dyDescent="0.35">
      <c r="A1117" t="s">
        <v>1440</v>
      </c>
      <c r="B1117">
        <v>45395</v>
      </c>
      <c r="C1117" t="s">
        <v>518</v>
      </c>
      <c r="D1117" t="s">
        <v>42</v>
      </c>
      <c r="E1117" t="s">
        <v>33</v>
      </c>
      <c r="F1117" t="s">
        <v>34</v>
      </c>
      <c r="G1117">
        <v>5</v>
      </c>
      <c r="H1117" s="2">
        <v>14</v>
      </c>
      <c r="I1117" s="2">
        <v>70</v>
      </c>
      <c r="J1117" s="2">
        <v>50.75</v>
      </c>
      <c r="K1117" s="2">
        <v>19.25</v>
      </c>
      <c r="L1117" t="s">
        <v>21</v>
      </c>
    </row>
    <row r="1118" spans="1:12" x14ac:dyDescent="0.35">
      <c r="A1118" t="s">
        <v>1441</v>
      </c>
      <c r="B1118">
        <v>45531</v>
      </c>
      <c r="C1118" t="s">
        <v>689</v>
      </c>
      <c r="D1118" t="s">
        <v>42</v>
      </c>
      <c r="E1118" t="s">
        <v>15</v>
      </c>
      <c r="F1118" t="s">
        <v>25</v>
      </c>
      <c r="G1118">
        <v>3</v>
      </c>
      <c r="H1118" s="2">
        <v>98</v>
      </c>
      <c r="I1118" s="2">
        <v>294</v>
      </c>
      <c r="J1118" s="2">
        <v>205.25</v>
      </c>
      <c r="K1118" s="2">
        <v>88.75</v>
      </c>
      <c r="L1118" t="s">
        <v>17</v>
      </c>
    </row>
    <row r="1119" spans="1:12" x14ac:dyDescent="0.35">
      <c r="A1119" t="s">
        <v>1442</v>
      </c>
      <c r="B1119">
        <v>45607</v>
      </c>
      <c r="C1119" t="s">
        <v>712</v>
      </c>
      <c r="D1119" t="s">
        <v>24</v>
      </c>
      <c r="E1119" t="s">
        <v>33</v>
      </c>
      <c r="F1119" t="s">
        <v>92</v>
      </c>
      <c r="G1119">
        <v>1</v>
      </c>
      <c r="H1119" s="2">
        <v>76</v>
      </c>
      <c r="I1119" s="2">
        <v>76</v>
      </c>
      <c r="J1119" s="2">
        <v>43.69</v>
      </c>
      <c r="K1119" s="2">
        <v>32.31</v>
      </c>
      <c r="L1119" t="s">
        <v>44</v>
      </c>
    </row>
    <row r="1120" spans="1:12" x14ac:dyDescent="0.35">
      <c r="A1120" t="s">
        <v>1443</v>
      </c>
      <c r="B1120">
        <v>45307</v>
      </c>
      <c r="C1120" t="s">
        <v>1444</v>
      </c>
      <c r="D1120" t="s">
        <v>28</v>
      </c>
      <c r="E1120" t="s">
        <v>33</v>
      </c>
      <c r="F1120" t="s">
        <v>92</v>
      </c>
      <c r="G1120">
        <v>1</v>
      </c>
      <c r="H1120" s="2">
        <v>61</v>
      </c>
      <c r="I1120" s="2">
        <v>61</v>
      </c>
      <c r="J1120" s="2">
        <v>41.58</v>
      </c>
      <c r="K1120" s="2">
        <v>19.420000000000002</v>
      </c>
      <c r="L1120" t="s">
        <v>35</v>
      </c>
    </row>
    <row r="1121" spans="1:12" x14ac:dyDescent="0.35">
      <c r="A1121" t="s">
        <v>1445</v>
      </c>
      <c r="B1121">
        <v>45475</v>
      </c>
      <c r="C1121" t="s">
        <v>757</v>
      </c>
      <c r="D1121" t="s">
        <v>14</v>
      </c>
      <c r="E1121" t="s">
        <v>29</v>
      </c>
      <c r="F1121" t="s">
        <v>43</v>
      </c>
      <c r="G1121">
        <v>2</v>
      </c>
      <c r="H1121" s="2">
        <v>85</v>
      </c>
      <c r="I1121" s="2">
        <v>170</v>
      </c>
      <c r="J1121" s="2">
        <v>135</v>
      </c>
      <c r="K1121" s="2">
        <v>35</v>
      </c>
      <c r="L1121" t="s">
        <v>17</v>
      </c>
    </row>
    <row r="1122" spans="1:12" x14ac:dyDescent="0.35">
      <c r="A1122" t="s">
        <v>1446</v>
      </c>
      <c r="B1122">
        <v>45363</v>
      </c>
      <c r="C1122" t="s">
        <v>570</v>
      </c>
      <c r="D1122" t="s">
        <v>14</v>
      </c>
      <c r="E1122" t="s">
        <v>15</v>
      </c>
      <c r="F1122" t="s">
        <v>16</v>
      </c>
      <c r="G1122">
        <v>3</v>
      </c>
      <c r="H1122" s="2">
        <v>60</v>
      </c>
      <c r="I1122" s="2">
        <v>180</v>
      </c>
      <c r="J1122" s="2">
        <v>132.4</v>
      </c>
      <c r="K1122" s="2">
        <v>47.6</v>
      </c>
      <c r="L1122" t="s">
        <v>21</v>
      </c>
    </row>
    <row r="1123" spans="1:12" x14ac:dyDescent="0.35">
      <c r="A1123" t="s">
        <v>1447</v>
      </c>
      <c r="B1123">
        <v>45293</v>
      </c>
      <c r="C1123" t="s">
        <v>255</v>
      </c>
      <c r="D1123" t="s">
        <v>14</v>
      </c>
      <c r="E1123" t="s">
        <v>38</v>
      </c>
      <c r="F1123" t="s">
        <v>58</v>
      </c>
      <c r="G1123">
        <v>5</v>
      </c>
      <c r="H1123" s="2">
        <v>58</v>
      </c>
      <c r="I1123" s="2">
        <v>290</v>
      </c>
      <c r="J1123" s="2">
        <v>200.69</v>
      </c>
      <c r="K1123" s="2">
        <v>89.31</v>
      </c>
      <c r="L1123" t="s">
        <v>17</v>
      </c>
    </row>
    <row r="1124" spans="1:12" x14ac:dyDescent="0.35">
      <c r="A1124" t="s">
        <v>1448</v>
      </c>
      <c r="B1124">
        <v>45403</v>
      </c>
      <c r="C1124" t="s">
        <v>70</v>
      </c>
      <c r="D1124" t="s">
        <v>14</v>
      </c>
      <c r="E1124" t="s">
        <v>15</v>
      </c>
      <c r="F1124" t="s">
        <v>16</v>
      </c>
      <c r="G1124">
        <v>3</v>
      </c>
      <c r="H1124" s="2">
        <v>69</v>
      </c>
      <c r="I1124" s="2">
        <v>207</v>
      </c>
      <c r="J1124" s="2">
        <v>131.4</v>
      </c>
      <c r="K1124" s="2">
        <v>75.599999999999994</v>
      </c>
      <c r="L1124" t="s">
        <v>17</v>
      </c>
    </row>
    <row r="1125" spans="1:12" x14ac:dyDescent="0.35">
      <c r="A1125" t="s">
        <v>1449</v>
      </c>
      <c r="B1125">
        <v>45540</v>
      </c>
      <c r="C1125" t="s">
        <v>533</v>
      </c>
      <c r="D1125" t="s">
        <v>14</v>
      </c>
      <c r="E1125" t="s">
        <v>29</v>
      </c>
      <c r="F1125" t="s">
        <v>30</v>
      </c>
      <c r="G1125">
        <v>3</v>
      </c>
      <c r="H1125" s="2">
        <v>64</v>
      </c>
      <c r="I1125" s="2">
        <v>192</v>
      </c>
      <c r="J1125" s="2">
        <v>153.43</v>
      </c>
      <c r="K1125" s="2">
        <v>38.57</v>
      </c>
      <c r="L1125" t="s">
        <v>44</v>
      </c>
    </row>
    <row r="1126" spans="1:12" x14ac:dyDescent="0.35">
      <c r="A1126" t="s">
        <v>1450</v>
      </c>
      <c r="B1126">
        <v>45647</v>
      </c>
      <c r="C1126" t="s">
        <v>1083</v>
      </c>
      <c r="D1126" t="s">
        <v>42</v>
      </c>
      <c r="E1126" t="s">
        <v>29</v>
      </c>
      <c r="F1126" t="s">
        <v>43</v>
      </c>
      <c r="G1126">
        <v>4</v>
      </c>
      <c r="H1126" s="2">
        <v>66</v>
      </c>
      <c r="I1126" s="2">
        <v>264</v>
      </c>
      <c r="J1126" s="2">
        <v>149.78</v>
      </c>
      <c r="K1126" s="2">
        <v>114.22</v>
      </c>
      <c r="L1126" t="s">
        <v>21</v>
      </c>
    </row>
    <row r="1127" spans="1:12" x14ac:dyDescent="0.35">
      <c r="A1127" t="s">
        <v>1451</v>
      </c>
      <c r="B1127">
        <v>45387</v>
      </c>
      <c r="C1127" t="s">
        <v>140</v>
      </c>
      <c r="D1127" t="s">
        <v>14</v>
      </c>
      <c r="E1127" t="s">
        <v>29</v>
      </c>
      <c r="F1127" t="s">
        <v>43</v>
      </c>
      <c r="G1127">
        <v>4</v>
      </c>
      <c r="H1127" s="2">
        <v>19</v>
      </c>
      <c r="I1127" s="2">
        <v>76</v>
      </c>
      <c r="J1127" s="2">
        <v>54.61</v>
      </c>
      <c r="K1127" s="2">
        <v>21.39</v>
      </c>
      <c r="L1127" t="s">
        <v>21</v>
      </c>
    </row>
    <row r="1128" spans="1:12" x14ac:dyDescent="0.35">
      <c r="A1128" t="s">
        <v>1452</v>
      </c>
      <c r="B1128">
        <v>45489</v>
      </c>
      <c r="C1128" t="s">
        <v>923</v>
      </c>
      <c r="D1128" t="s">
        <v>42</v>
      </c>
      <c r="E1128" t="s">
        <v>38</v>
      </c>
      <c r="F1128" t="s">
        <v>39</v>
      </c>
      <c r="G1128">
        <v>2</v>
      </c>
      <c r="H1128" s="2">
        <v>98</v>
      </c>
      <c r="I1128" s="2">
        <v>196</v>
      </c>
      <c r="J1128" s="2">
        <v>139.02000000000001</v>
      </c>
      <c r="K1128" s="2">
        <v>56.98</v>
      </c>
      <c r="L1128" t="s">
        <v>44</v>
      </c>
    </row>
    <row r="1129" spans="1:12" x14ac:dyDescent="0.35">
      <c r="A1129" t="s">
        <v>1453</v>
      </c>
      <c r="B1129">
        <v>45334</v>
      </c>
      <c r="C1129" t="s">
        <v>638</v>
      </c>
      <c r="D1129" t="s">
        <v>14</v>
      </c>
      <c r="E1129" t="s">
        <v>15</v>
      </c>
      <c r="F1129" t="s">
        <v>20</v>
      </c>
      <c r="G1129">
        <v>1</v>
      </c>
      <c r="H1129" s="2">
        <v>53</v>
      </c>
      <c r="I1129" s="2">
        <v>53</v>
      </c>
      <c r="J1129" s="2">
        <v>35.47</v>
      </c>
      <c r="K1129" s="2">
        <v>17.53</v>
      </c>
      <c r="L1129" t="s">
        <v>17</v>
      </c>
    </row>
    <row r="1130" spans="1:12" x14ac:dyDescent="0.35">
      <c r="A1130" t="s">
        <v>1454</v>
      </c>
      <c r="B1130">
        <v>45352</v>
      </c>
      <c r="C1130" t="s">
        <v>1455</v>
      </c>
      <c r="D1130" t="s">
        <v>28</v>
      </c>
      <c r="E1130" t="s">
        <v>29</v>
      </c>
      <c r="F1130" t="s">
        <v>75</v>
      </c>
      <c r="G1130">
        <v>4</v>
      </c>
      <c r="H1130" s="2">
        <v>46</v>
      </c>
      <c r="I1130" s="2">
        <v>184</v>
      </c>
      <c r="J1130" s="2">
        <v>101.36</v>
      </c>
      <c r="K1130" s="2">
        <v>82.64</v>
      </c>
      <c r="L1130" t="s">
        <v>17</v>
      </c>
    </row>
    <row r="1131" spans="1:12" x14ac:dyDescent="0.35">
      <c r="A1131" t="s">
        <v>1456</v>
      </c>
      <c r="B1131">
        <v>45655</v>
      </c>
      <c r="C1131" t="s">
        <v>434</v>
      </c>
      <c r="D1131" t="s">
        <v>14</v>
      </c>
      <c r="E1131" t="s">
        <v>29</v>
      </c>
      <c r="F1131" t="s">
        <v>43</v>
      </c>
      <c r="G1131">
        <v>3</v>
      </c>
      <c r="H1131" s="2">
        <v>84</v>
      </c>
      <c r="I1131" s="2">
        <v>252</v>
      </c>
      <c r="J1131" s="2">
        <v>161.1</v>
      </c>
      <c r="K1131" s="2">
        <v>90.9</v>
      </c>
      <c r="L1131" t="s">
        <v>35</v>
      </c>
    </row>
    <row r="1132" spans="1:12" x14ac:dyDescent="0.35">
      <c r="A1132" t="s">
        <v>1457</v>
      </c>
      <c r="B1132">
        <v>45381</v>
      </c>
      <c r="C1132" t="s">
        <v>1040</v>
      </c>
      <c r="D1132" t="s">
        <v>28</v>
      </c>
      <c r="E1132" t="s">
        <v>38</v>
      </c>
      <c r="F1132" t="s">
        <v>52</v>
      </c>
      <c r="G1132">
        <v>2</v>
      </c>
      <c r="H1132" s="2">
        <v>38</v>
      </c>
      <c r="I1132" s="2">
        <v>76</v>
      </c>
      <c r="J1132" s="2">
        <v>47.5</v>
      </c>
      <c r="K1132" s="2">
        <v>28.5</v>
      </c>
      <c r="L1132" t="s">
        <v>17</v>
      </c>
    </row>
    <row r="1133" spans="1:12" x14ac:dyDescent="0.35">
      <c r="A1133" t="s">
        <v>1458</v>
      </c>
      <c r="B1133">
        <v>45441</v>
      </c>
      <c r="C1133" t="s">
        <v>257</v>
      </c>
      <c r="D1133" t="s">
        <v>42</v>
      </c>
      <c r="E1133" t="s">
        <v>15</v>
      </c>
      <c r="F1133" t="s">
        <v>16</v>
      </c>
      <c r="G1133">
        <v>3</v>
      </c>
      <c r="H1133" s="2">
        <v>22</v>
      </c>
      <c r="I1133" s="2">
        <v>66</v>
      </c>
      <c r="J1133" s="2">
        <v>50.3</v>
      </c>
      <c r="K1133" s="2">
        <v>15.7</v>
      </c>
      <c r="L1133" t="s">
        <v>17</v>
      </c>
    </row>
    <row r="1134" spans="1:12" x14ac:dyDescent="0.35">
      <c r="A1134" t="s">
        <v>1459</v>
      </c>
      <c r="B1134">
        <v>45389</v>
      </c>
      <c r="C1134" t="s">
        <v>603</v>
      </c>
      <c r="D1134" t="s">
        <v>28</v>
      </c>
      <c r="E1134" t="s">
        <v>29</v>
      </c>
      <c r="F1134" t="s">
        <v>30</v>
      </c>
      <c r="G1134">
        <v>2</v>
      </c>
      <c r="H1134" s="2">
        <v>98</v>
      </c>
      <c r="I1134" s="2">
        <v>196</v>
      </c>
      <c r="J1134" s="2">
        <v>116.83</v>
      </c>
      <c r="K1134" s="2">
        <v>79.17</v>
      </c>
      <c r="L1134" t="s">
        <v>44</v>
      </c>
    </row>
    <row r="1135" spans="1:12" x14ac:dyDescent="0.35">
      <c r="A1135" t="s">
        <v>1460</v>
      </c>
      <c r="B1135">
        <v>45507</v>
      </c>
      <c r="C1135" t="s">
        <v>257</v>
      </c>
      <c r="D1135" t="s">
        <v>28</v>
      </c>
      <c r="E1135" t="s">
        <v>33</v>
      </c>
      <c r="F1135" t="s">
        <v>92</v>
      </c>
      <c r="G1135">
        <v>4</v>
      </c>
      <c r="H1135" s="2">
        <v>67</v>
      </c>
      <c r="I1135" s="2">
        <v>268</v>
      </c>
      <c r="J1135" s="2">
        <v>212.24</v>
      </c>
      <c r="K1135" s="2">
        <v>55.76</v>
      </c>
      <c r="L1135" t="s">
        <v>44</v>
      </c>
    </row>
    <row r="1136" spans="1:12" x14ac:dyDescent="0.35">
      <c r="A1136" t="s">
        <v>1461</v>
      </c>
      <c r="B1136">
        <v>45306</v>
      </c>
      <c r="C1136" t="s">
        <v>184</v>
      </c>
      <c r="D1136" t="s">
        <v>28</v>
      </c>
      <c r="E1136" t="s">
        <v>15</v>
      </c>
      <c r="F1136" t="s">
        <v>25</v>
      </c>
      <c r="G1136">
        <v>3</v>
      </c>
      <c r="H1136" s="2">
        <v>95</v>
      </c>
      <c r="I1136" s="2">
        <v>285</v>
      </c>
      <c r="J1136" s="2">
        <v>144.29</v>
      </c>
      <c r="K1136" s="2">
        <v>140.71</v>
      </c>
      <c r="L1136" t="s">
        <v>35</v>
      </c>
    </row>
    <row r="1137" spans="1:12" x14ac:dyDescent="0.35">
      <c r="A1137" t="s">
        <v>1462</v>
      </c>
      <c r="B1137">
        <v>45585</v>
      </c>
      <c r="C1137" t="s">
        <v>338</v>
      </c>
      <c r="D1137" t="s">
        <v>42</v>
      </c>
      <c r="E1137" t="s">
        <v>29</v>
      </c>
      <c r="F1137" t="s">
        <v>47</v>
      </c>
      <c r="G1137">
        <v>3</v>
      </c>
      <c r="H1137" s="2">
        <v>37</v>
      </c>
      <c r="I1137" s="2">
        <v>111</v>
      </c>
      <c r="J1137" s="2">
        <v>86.27</v>
      </c>
      <c r="K1137" s="2">
        <v>24.73</v>
      </c>
      <c r="L1137" t="s">
        <v>17</v>
      </c>
    </row>
    <row r="1138" spans="1:12" x14ac:dyDescent="0.35">
      <c r="A1138" t="s">
        <v>1463</v>
      </c>
      <c r="B1138">
        <v>45455</v>
      </c>
      <c r="C1138" t="s">
        <v>1198</v>
      </c>
      <c r="D1138" t="s">
        <v>28</v>
      </c>
      <c r="E1138" t="s">
        <v>33</v>
      </c>
      <c r="F1138" t="s">
        <v>92</v>
      </c>
      <c r="G1138">
        <v>2</v>
      </c>
      <c r="H1138" s="2">
        <v>89</v>
      </c>
      <c r="I1138" s="2">
        <v>178</v>
      </c>
      <c r="J1138" s="2">
        <v>94.99</v>
      </c>
      <c r="K1138" s="2">
        <v>83.01</v>
      </c>
      <c r="L1138" t="s">
        <v>21</v>
      </c>
    </row>
    <row r="1139" spans="1:12" x14ac:dyDescent="0.35">
      <c r="A1139" t="s">
        <v>1464</v>
      </c>
      <c r="B1139">
        <v>45597</v>
      </c>
      <c r="C1139" t="s">
        <v>27</v>
      </c>
      <c r="D1139" t="s">
        <v>24</v>
      </c>
      <c r="E1139" t="s">
        <v>29</v>
      </c>
      <c r="F1139" t="s">
        <v>30</v>
      </c>
      <c r="G1139">
        <v>3</v>
      </c>
      <c r="H1139" s="2">
        <v>47</v>
      </c>
      <c r="I1139" s="2">
        <v>141</v>
      </c>
      <c r="J1139" s="2">
        <v>75.14</v>
      </c>
      <c r="K1139" s="2">
        <v>65.86</v>
      </c>
      <c r="L1139" t="s">
        <v>21</v>
      </c>
    </row>
    <row r="1140" spans="1:12" x14ac:dyDescent="0.35">
      <c r="A1140" t="s">
        <v>1465</v>
      </c>
      <c r="B1140">
        <v>45409</v>
      </c>
      <c r="C1140" t="s">
        <v>262</v>
      </c>
      <c r="D1140" t="s">
        <v>24</v>
      </c>
      <c r="E1140" t="s">
        <v>15</v>
      </c>
      <c r="F1140" t="s">
        <v>16</v>
      </c>
      <c r="G1140">
        <v>4</v>
      </c>
      <c r="H1140" s="2">
        <v>43</v>
      </c>
      <c r="I1140" s="2">
        <v>172</v>
      </c>
      <c r="J1140" s="2">
        <v>105.13</v>
      </c>
      <c r="K1140" s="2">
        <v>66.87</v>
      </c>
      <c r="L1140" t="s">
        <v>21</v>
      </c>
    </row>
    <row r="1141" spans="1:12" x14ac:dyDescent="0.35">
      <c r="A1141" t="s">
        <v>1466</v>
      </c>
      <c r="B1141">
        <v>45578</v>
      </c>
      <c r="C1141" t="s">
        <v>400</v>
      </c>
      <c r="D1141" t="s">
        <v>24</v>
      </c>
      <c r="E1141" t="s">
        <v>38</v>
      </c>
      <c r="F1141" t="s">
        <v>58</v>
      </c>
      <c r="G1141">
        <v>5</v>
      </c>
      <c r="H1141" s="2">
        <v>66</v>
      </c>
      <c r="I1141" s="2">
        <v>330</v>
      </c>
      <c r="J1141" s="2">
        <v>190.38</v>
      </c>
      <c r="K1141" s="2">
        <v>139.62</v>
      </c>
      <c r="L1141" t="s">
        <v>35</v>
      </c>
    </row>
    <row r="1142" spans="1:12" x14ac:dyDescent="0.35">
      <c r="A1142" t="s">
        <v>1467</v>
      </c>
      <c r="B1142">
        <v>45375</v>
      </c>
      <c r="C1142" t="s">
        <v>275</v>
      </c>
      <c r="D1142" t="s">
        <v>42</v>
      </c>
      <c r="E1142" t="s">
        <v>29</v>
      </c>
      <c r="F1142" t="s">
        <v>43</v>
      </c>
      <c r="G1142">
        <v>5</v>
      </c>
      <c r="H1142" s="2">
        <v>76</v>
      </c>
      <c r="I1142" s="2">
        <v>380</v>
      </c>
      <c r="J1142" s="2">
        <v>222.55</v>
      </c>
      <c r="K1142" s="2">
        <v>157.44999999999999</v>
      </c>
      <c r="L1142" t="s">
        <v>44</v>
      </c>
    </row>
    <row r="1143" spans="1:12" x14ac:dyDescent="0.35">
      <c r="A1143" t="s">
        <v>1468</v>
      </c>
      <c r="B1143">
        <v>45376</v>
      </c>
      <c r="C1143" t="s">
        <v>175</v>
      </c>
      <c r="D1143" t="s">
        <v>24</v>
      </c>
      <c r="E1143" t="s">
        <v>29</v>
      </c>
      <c r="F1143" t="s">
        <v>43</v>
      </c>
      <c r="G1143">
        <v>4</v>
      </c>
      <c r="H1143" s="2">
        <v>67</v>
      </c>
      <c r="I1143" s="2">
        <v>268</v>
      </c>
      <c r="J1143" s="2">
        <v>201.45</v>
      </c>
      <c r="K1143" s="2">
        <v>66.55</v>
      </c>
      <c r="L1143" t="s">
        <v>44</v>
      </c>
    </row>
    <row r="1144" spans="1:12" x14ac:dyDescent="0.35">
      <c r="A1144" t="s">
        <v>1469</v>
      </c>
      <c r="B1144">
        <v>45304</v>
      </c>
      <c r="C1144" t="s">
        <v>595</v>
      </c>
      <c r="D1144" t="s">
        <v>14</v>
      </c>
      <c r="E1144" t="s">
        <v>15</v>
      </c>
      <c r="F1144" t="s">
        <v>25</v>
      </c>
      <c r="G1144">
        <v>1</v>
      </c>
      <c r="H1144" s="2">
        <v>98</v>
      </c>
      <c r="I1144" s="2">
        <v>98</v>
      </c>
      <c r="J1144" s="2">
        <v>56.99</v>
      </c>
      <c r="K1144" s="2">
        <v>41.01</v>
      </c>
      <c r="L1144" t="s">
        <v>17</v>
      </c>
    </row>
    <row r="1145" spans="1:12" x14ac:dyDescent="0.35">
      <c r="A1145" t="s">
        <v>1470</v>
      </c>
      <c r="B1145">
        <v>45320</v>
      </c>
      <c r="C1145" t="s">
        <v>689</v>
      </c>
      <c r="D1145" t="s">
        <v>42</v>
      </c>
      <c r="E1145" t="s">
        <v>33</v>
      </c>
      <c r="F1145" t="s">
        <v>92</v>
      </c>
      <c r="G1145">
        <v>3</v>
      </c>
      <c r="H1145" s="2">
        <v>61</v>
      </c>
      <c r="I1145" s="2">
        <v>183</v>
      </c>
      <c r="J1145" s="2">
        <v>92.49</v>
      </c>
      <c r="K1145" s="2">
        <v>90.51</v>
      </c>
      <c r="L1145" t="s">
        <v>17</v>
      </c>
    </row>
    <row r="1146" spans="1:12" x14ac:dyDescent="0.35">
      <c r="A1146" t="s">
        <v>1471</v>
      </c>
      <c r="B1146">
        <v>45393</v>
      </c>
      <c r="C1146" t="s">
        <v>134</v>
      </c>
      <c r="D1146" t="s">
        <v>24</v>
      </c>
      <c r="E1146" t="s">
        <v>38</v>
      </c>
      <c r="F1146" t="s">
        <v>39</v>
      </c>
      <c r="G1146">
        <v>4</v>
      </c>
      <c r="H1146" s="2">
        <v>48</v>
      </c>
      <c r="I1146" s="2">
        <v>192</v>
      </c>
      <c r="J1146" s="2">
        <v>113.84</v>
      </c>
      <c r="K1146" s="2">
        <v>78.16</v>
      </c>
      <c r="L1146" t="s">
        <v>35</v>
      </c>
    </row>
    <row r="1147" spans="1:12" x14ac:dyDescent="0.35">
      <c r="A1147" t="s">
        <v>1472</v>
      </c>
      <c r="B1147">
        <v>45508</v>
      </c>
      <c r="C1147" t="s">
        <v>222</v>
      </c>
      <c r="D1147" t="s">
        <v>42</v>
      </c>
      <c r="E1147" t="s">
        <v>29</v>
      </c>
      <c r="F1147" t="s">
        <v>75</v>
      </c>
      <c r="G1147">
        <v>5</v>
      </c>
      <c r="H1147" s="2">
        <v>11</v>
      </c>
      <c r="I1147" s="2">
        <v>55</v>
      </c>
      <c r="J1147" s="2">
        <v>41.41</v>
      </c>
      <c r="K1147" s="2">
        <v>13.59</v>
      </c>
      <c r="L1147" t="s">
        <v>17</v>
      </c>
    </row>
    <row r="1148" spans="1:12" x14ac:dyDescent="0.35">
      <c r="A1148" t="s">
        <v>1473</v>
      </c>
      <c r="B1148">
        <v>45516</v>
      </c>
      <c r="C1148" t="s">
        <v>251</v>
      </c>
      <c r="D1148" t="s">
        <v>28</v>
      </c>
      <c r="E1148" t="s">
        <v>15</v>
      </c>
      <c r="F1148" t="s">
        <v>25</v>
      </c>
      <c r="G1148">
        <v>2</v>
      </c>
      <c r="H1148" s="2">
        <v>68</v>
      </c>
      <c r="I1148" s="2">
        <v>136</v>
      </c>
      <c r="J1148" s="2">
        <v>68.02</v>
      </c>
      <c r="K1148" s="2">
        <v>67.98</v>
      </c>
      <c r="L1148" t="s">
        <v>21</v>
      </c>
    </row>
    <row r="1149" spans="1:12" x14ac:dyDescent="0.35">
      <c r="A1149" t="s">
        <v>1474</v>
      </c>
      <c r="B1149">
        <v>45297</v>
      </c>
      <c r="C1149" t="s">
        <v>412</v>
      </c>
      <c r="D1149" t="s">
        <v>14</v>
      </c>
      <c r="E1149" t="s">
        <v>33</v>
      </c>
      <c r="F1149" t="s">
        <v>34</v>
      </c>
      <c r="G1149">
        <v>3</v>
      </c>
      <c r="H1149" s="2">
        <v>83</v>
      </c>
      <c r="I1149" s="2">
        <v>249</v>
      </c>
      <c r="J1149" s="2">
        <v>142.38999999999999</v>
      </c>
      <c r="K1149" s="2">
        <v>106.61</v>
      </c>
      <c r="L1149" t="s">
        <v>35</v>
      </c>
    </row>
    <row r="1150" spans="1:12" x14ac:dyDescent="0.35">
      <c r="A1150" t="s">
        <v>1475</v>
      </c>
      <c r="B1150">
        <v>45599</v>
      </c>
      <c r="C1150" t="s">
        <v>1198</v>
      </c>
      <c r="D1150" t="s">
        <v>42</v>
      </c>
      <c r="E1150" t="s">
        <v>38</v>
      </c>
      <c r="F1150" t="s">
        <v>58</v>
      </c>
      <c r="G1150">
        <v>5</v>
      </c>
      <c r="H1150" s="2">
        <v>20</v>
      </c>
      <c r="I1150" s="2">
        <v>100</v>
      </c>
      <c r="J1150" s="2">
        <v>57.35</v>
      </c>
      <c r="K1150" s="2">
        <v>42.65</v>
      </c>
      <c r="L1150" t="s">
        <v>44</v>
      </c>
    </row>
    <row r="1151" spans="1:12" x14ac:dyDescent="0.35">
      <c r="A1151" t="s">
        <v>1476</v>
      </c>
      <c r="B1151">
        <v>45649</v>
      </c>
      <c r="C1151" t="s">
        <v>101</v>
      </c>
      <c r="D1151" t="s">
        <v>28</v>
      </c>
      <c r="E1151" t="s">
        <v>15</v>
      </c>
      <c r="F1151" t="s">
        <v>16</v>
      </c>
      <c r="G1151">
        <v>4</v>
      </c>
      <c r="H1151" s="2">
        <v>75</v>
      </c>
      <c r="I1151" s="2">
        <v>300</v>
      </c>
      <c r="J1151" s="2">
        <v>159.19</v>
      </c>
      <c r="K1151" s="2">
        <v>140.81</v>
      </c>
      <c r="L1151" t="s">
        <v>21</v>
      </c>
    </row>
    <row r="1152" spans="1:12" x14ac:dyDescent="0.35">
      <c r="A1152" t="s">
        <v>1477</v>
      </c>
      <c r="B1152">
        <v>45549</v>
      </c>
      <c r="C1152" t="s">
        <v>91</v>
      </c>
      <c r="D1152" t="s">
        <v>28</v>
      </c>
      <c r="E1152" t="s">
        <v>15</v>
      </c>
      <c r="F1152" t="s">
        <v>16</v>
      </c>
      <c r="G1152">
        <v>1</v>
      </c>
      <c r="H1152" s="2">
        <v>33</v>
      </c>
      <c r="I1152" s="2">
        <v>33</v>
      </c>
      <c r="J1152" s="2">
        <v>16.72</v>
      </c>
      <c r="K1152" s="2">
        <v>16.28</v>
      </c>
      <c r="L1152" t="s">
        <v>21</v>
      </c>
    </row>
    <row r="1153" spans="1:12" x14ac:dyDescent="0.35">
      <c r="A1153" t="s">
        <v>1478</v>
      </c>
      <c r="B1153">
        <v>45589</v>
      </c>
      <c r="C1153" t="s">
        <v>95</v>
      </c>
      <c r="D1153" t="s">
        <v>42</v>
      </c>
      <c r="E1153" t="s">
        <v>38</v>
      </c>
      <c r="F1153" t="s">
        <v>58</v>
      </c>
      <c r="G1153">
        <v>3</v>
      </c>
      <c r="H1153" s="2">
        <v>15</v>
      </c>
      <c r="I1153" s="2">
        <v>45</v>
      </c>
      <c r="J1153" s="2">
        <v>32.64</v>
      </c>
      <c r="K1153" s="2">
        <v>12.36</v>
      </c>
      <c r="L1153" t="s">
        <v>44</v>
      </c>
    </row>
    <row r="1154" spans="1:12" x14ac:dyDescent="0.35">
      <c r="A1154" t="s">
        <v>1479</v>
      </c>
      <c r="B1154">
        <v>45589</v>
      </c>
      <c r="C1154" t="s">
        <v>595</v>
      </c>
      <c r="D1154" t="s">
        <v>42</v>
      </c>
      <c r="E1154" t="s">
        <v>33</v>
      </c>
      <c r="F1154" t="s">
        <v>55</v>
      </c>
      <c r="G1154">
        <v>5</v>
      </c>
      <c r="H1154" s="2">
        <v>65</v>
      </c>
      <c r="I1154" s="2">
        <v>325</v>
      </c>
      <c r="J1154" s="2">
        <v>190.98</v>
      </c>
      <c r="K1154" s="2">
        <v>134.02000000000001</v>
      </c>
      <c r="L1154" t="s">
        <v>21</v>
      </c>
    </row>
    <row r="1155" spans="1:12" x14ac:dyDescent="0.35">
      <c r="A1155" t="s">
        <v>1480</v>
      </c>
      <c r="B1155">
        <v>45627</v>
      </c>
      <c r="C1155" t="s">
        <v>1481</v>
      </c>
      <c r="D1155" t="s">
        <v>14</v>
      </c>
      <c r="E1155" t="s">
        <v>38</v>
      </c>
      <c r="F1155" t="s">
        <v>39</v>
      </c>
      <c r="G1155">
        <v>5</v>
      </c>
      <c r="H1155" s="2">
        <v>89</v>
      </c>
      <c r="I1155" s="2">
        <v>445</v>
      </c>
      <c r="J1155" s="2">
        <v>333.21</v>
      </c>
      <c r="K1155" s="2">
        <v>111.79</v>
      </c>
      <c r="L1155" t="s">
        <v>44</v>
      </c>
    </row>
    <row r="1156" spans="1:12" x14ac:dyDescent="0.35">
      <c r="A1156" t="s">
        <v>1482</v>
      </c>
      <c r="B1156">
        <v>45322</v>
      </c>
      <c r="C1156" t="s">
        <v>792</v>
      </c>
      <c r="D1156" t="s">
        <v>28</v>
      </c>
      <c r="E1156" t="s">
        <v>15</v>
      </c>
      <c r="F1156" t="s">
        <v>20</v>
      </c>
      <c r="G1156">
        <v>1</v>
      </c>
      <c r="H1156" s="2">
        <v>81</v>
      </c>
      <c r="I1156" s="2">
        <v>81</v>
      </c>
      <c r="J1156" s="2">
        <v>50.71</v>
      </c>
      <c r="K1156" s="2">
        <v>30.29</v>
      </c>
      <c r="L1156" t="s">
        <v>44</v>
      </c>
    </row>
    <row r="1157" spans="1:12" x14ac:dyDescent="0.35">
      <c r="A1157" t="s">
        <v>1483</v>
      </c>
      <c r="B1157">
        <v>45424</v>
      </c>
      <c r="C1157" t="s">
        <v>466</v>
      </c>
      <c r="D1157" t="s">
        <v>28</v>
      </c>
      <c r="E1157" t="s">
        <v>29</v>
      </c>
      <c r="F1157" t="s">
        <v>43</v>
      </c>
      <c r="G1157">
        <v>2</v>
      </c>
      <c r="H1157" s="2">
        <v>57</v>
      </c>
      <c r="I1157" s="2">
        <v>114</v>
      </c>
      <c r="J1157" s="2">
        <v>61.9</v>
      </c>
      <c r="K1157" s="2">
        <v>52.1</v>
      </c>
      <c r="L1157" t="s">
        <v>21</v>
      </c>
    </row>
    <row r="1158" spans="1:12" x14ac:dyDescent="0.35">
      <c r="A1158" t="s">
        <v>1484</v>
      </c>
      <c r="B1158">
        <v>45649</v>
      </c>
      <c r="C1158" t="s">
        <v>304</v>
      </c>
      <c r="D1158" t="s">
        <v>42</v>
      </c>
      <c r="E1158" t="s">
        <v>38</v>
      </c>
      <c r="F1158" t="s">
        <v>58</v>
      </c>
      <c r="G1158">
        <v>4</v>
      </c>
      <c r="H1158" s="2">
        <v>99</v>
      </c>
      <c r="I1158" s="2">
        <v>396</v>
      </c>
      <c r="J1158" s="2">
        <v>231.98</v>
      </c>
      <c r="K1158" s="2">
        <v>164.02</v>
      </c>
      <c r="L1158" t="s">
        <v>21</v>
      </c>
    </row>
    <row r="1159" spans="1:12" x14ac:dyDescent="0.35">
      <c r="A1159" t="s">
        <v>1485</v>
      </c>
      <c r="B1159">
        <v>45501</v>
      </c>
      <c r="C1159" t="s">
        <v>1083</v>
      </c>
      <c r="D1159" t="s">
        <v>24</v>
      </c>
      <c r="E1159" t="s">
        <v>15</v>
      </c>
      <c r="F1159" t="s">
        <v>16</v>
      </c>
      <c r="G1159">
        <v>2</v>
      </c>
      <c r="H1159" s="2">
        <v>100</v>
      </c>
      <c r="I1159" s="2">
        <v>200</v>
      </c>
      <c r="J1159" s="2">
        <v>145.58000000000001</v>
      </c>
      <c r="K1159" s="2">
        <v>54.42</v>
      </c>
      <c r="L1159" t="s">
        <v>21</v>
      </c>
    </row>
    <row r="1160" spans="1:12" x14ac:dyDescent="0.35">
      <c r="A1160" t="s">
        <v>1486</v>
      </c>
      <c r="B1160">
        <v>45457</v>
      </c>
      <c r="C1160" t="s">
        <v>125</v>
      </c>
      <c r="D1160" t="s">
        <v>24</v>
      </c>
      <c r="E1160" t="s">
        <v>15</v>
      </c>
      <c r="F1160" t="s">
        <v>25</v>
      </c>
      <c r="G1160">
        <v>2</v>
      </c>
      <c r="H1160" s="2">
        <v>60</v>
      </c>
      <c r="I1160" s="2">
        <v>120</v>
      </c>
      <c r="J1160" s="2">
        <v>67.75</v>
      </c>
      <c r="K1160" s="2">
        <v>52.25</v>
      </c>
      <c r="L1160" t="s">
        <v>17</v>
      </c>
    </row>
    <row r="1161" spans="1:12" x14ac:dyDescent="0.35">
      <c r="A1161" t="s">
        <v>1487</v>
      </c>
      <c r="B1161">
        <v>45605</v>
      </c>
      <c r="C1161" t="s">
        <v>62</v>
      </c>
      <c r="D1161" t="s">
        <v>14</v>
      </c>
      <c r="E1161" t="s">
        <v>38</v>
      </c>
      <c r="F1161" t="s">
        <v>58</v>
      </c>
      <c r="G1161">
        <v>3</v>
      </c>
      <c r="H1161" s="2">
        <v>72</v>
      </c>
      <c r="I1161" s="2">
        <v>216</v>
      </c>
      <c r="J1161" s="2">
        <v>172.13</v>
      </c>
      <c r="K1161" s="2">
        <v>43.87</v>
      </c>
      <c r="L1161" t="s">
        <v>21</v>
      </c>
    </row>
    <row r="1162" spans="1:12" x14ac:dyDescent="0.35">
      <c r="A1162" t="s">
        <v>1488</v>
      </c>
      <c r="B1162">
        <v>45530</v>
      </c>
      <c r="C1162" t="s">
        <v>491</v>
      </c>
      <c r="D1162" t="s">
        <v>24</v>
      </c>
      <c r="E1162" t="s">
        <v>33</v>
      </c>
      <c r="F1162" t="s">
        <v>34</v>
      </c>
      <c r="G1162">
        <v>5</v>
      </c>
      <c r="H1162" s="2">
        <v>88</v>
      </c>
      <c r="I1162" s="2">
        <v>440</v>
      </c>
      <c r="J1162" s="2">
        <v>251.65</v>
      </c>
      <c r="K1162" s="2">
        <v>188.35</v>
      </c>
      <c r="L1162" t="s">
        <v>21</v>
      </c>
    </row>
    <row r="1163" spans="1:12" x14ac:dyDescent="0.35">
      <c r="A1163" t="s">
        <v>1489</v>
      </c>
      <c r="B1163">
        <v>45545</v>
      </c>
      <c r="C1163" t="s">
        <v>861</v>
      </c>
      <c r="D1163" t="s">
        <v>14</v>
      </c>
      <c r="E1163" t="s">
        <v>29</v>
      </c>
      <c r="F1163" t="s">
        <v>75</v>
      </c>
      <c r="G1163">
        <v>1</v>
      </c>
      <c r="H1163" s="2">
        <v>41</v>
      </c>
      <c r="I1163" s="2">
        <v>41</v>
      </c>
      <c r="J1163" s="2">
        <v>32.29</v>
      </c>
      <c r="K1163" s="2">
        <v>8.7100000000000009</v>
      </c>
      <c r="L1163" t="s">
        <v>35</v>
      </c>
    </row>
    <row r="1164" spans="1:12" x14ac:dyDescent="0.35">
      <c r="A1164" t="s">
        <v>1490</v>
      </c>
      <c r="B1164">
        <v>45643</v>
      </c>
      <c r="C1164" t="s">
        <v>746</v>
      </c>
      <c r="D1164" t="s">
        <v>42</v>
      </c>
      <c r="E1164" t="s">
        <v>33</v>
      </c>
      <c r="F1164" t="s">
        <v>34</v>
      </c>
      <c r="G1164">
        <v>3</v>
      </c>
      <c r="H1164" s="2">
        <v>13</v>
      </c>
      <c r="I1164" s="2">
        <v>39</v>
      </c>
      <c r="J1164" s="2">
        <v>28.36</v>
      </c>
      <c r="K1164" s="2">
        <v>10.64</v>
      </c>
      <c r="L1164" t="s">
        <v>44</v>
      </c>
    </row>
    <row r="1165" spans="1:12" x14ac:dyDescent="0.35">
      <c r="A1165" t="s">
        <v>1491</v>
      </c>
      <c r="B1165">
        <v>45500</v>
      </c>
      <c r="C1165" t="s">
        <v>1492</v>
      </c>
      <c r="D1165" t="s">
        <v>14</v>
      </c>
      <c r="E1165" t="s">
        <v>15</v>
      </c>
      <c r="F1165" t="s">
        <v>16</v>
      </c>
      <c r="G1165">
        <v>4</v>
      </c>
      <c r="H1165" s="2">
        <v>39</v>
      </c>
      <c r="I1165" s="2">
        <v>156</v>
      </c>
      <c r="J1165" s="2">
        <v>78.64</v>
      </c>
      <c r="K1165" s="2">
        <v>77.36</v>
      </c>
      <c r="L1165" t="s">
        <v>35</v>
      </c>
    </row>
    <row r="1166" spans="1:12" x14ac:dyDescent="0.35">
      <c r="A1166" t="s">
        <v>1493</v>
      </c>
      <c r="B1166">
        <v>45463</v>
      </c>
      <c r="C1166" t="s">
        <v>518</v>
      </c>
      <c r="D1166" t="s">
        <v>28</v>
      </c>
      <c r="E1166" t="s">
        <v>29</v>
      </c>
      <c r="F1166" t="s">
        <v>43</v>
      </c>
      <c r="G1166">
        <v>1</v>
      </c>
      <c r="H1166" s="2">
        <v>67</v>
      </c>
      <c r="I1166" s="2">
        <v>67</v>
      </c>
      <c r="J1166" s="2">
        <v>45.75</v>
      </c>
      <c r="K1166" s="2">
        <v>21.25</v>
      </c>
      <c r="L1166" t="s">
        <v>17</v>
      </c>
    </row>
    <row r="1167" spans="1:12" x14ac:dyDescent="0.35">
      <c r="A1167" t="s">
        <v>1494</v>
      </c>
      <c r="B1167">
        <v>45500</v>
      </c>
      <c r="C1167" t="s">
        <v>559</v>
      </c>
      <c r="D1167" t="s">
        <v>28</v>
      </c>
      <c r="E1167" t="s">
        <v>29</v>
      </c>
      <c r="F1167" t="s">
        <v>43</v>
      </c>
      <c r="G1167">
        <v>3</v>
      </c>
      <c r="H1167" s="2">
        <v>98</v>
      </c>
      <c r="I1167" s="2">
        <v>294</v>
      </c>
      <c r="J1167" s="2">
        <v>190.97</v>
      </c>
      <c r="K1167" s="2">
        <v>103.03</v>
      </c>
      <c r="L1167" t="s">
        <v>35</v>
      </c>
    </row>
    <row r="1168" spans="1:12" x14ac:dyDescent="0.35">
      <c r="A1168" t="s">
        <v>1495</v>
      </c>
      <c r="B1168">
        <v>45490</v>
      </c>
      <c r="C1168" t="s">
        <v>199</v>
      </c>
      <c r="D1168" t="s">
        <v>42</v>
      </c>
      <c r="E1168" t="s">
        <v>33</v>
      </c>
      <c r="F1168" t="s">
        <v>34</v>
      </c>
      <c r="G1168">
        <v>2</v>
      </c>
      <c r="H1168" s="2">
        <v>24</v>
      </c>
      <c r="I1168" s="2">
        <v>48</v>
      </c>
      <c r="J1168" s="2">
        <v>29.21</v>
      </c>
      <c r="K1168" s="2">
        <v>18.79</v>
      </c>
      <c r="L1168" t="s">
        <v>17</v>
      </c>
    </row>
    <row r="1169" spans="1:12" x14ac:dyDescent="0.35">
      <c r="A1169" t="s">
        <v>1496</v>
      </c>
      <c r="B1169">
        <v>45398</v>
      </c>
      <c r="C1169" t="s">
        <v>1444</v>
      </c>
      <c r="D1169" t="s">
        <v>42</v>
      </c>
      <c r="E1169" t="s">
        <v>15</v>
      </c>
      <c r="F1169" t="s">
        <v>16</v>
      </c>
      <c r="G1169">
        <v>5</v>
      </c>
      <c r="H1169" s="2">
        <v>40</v>
      </c>
      <c r="I1169" s="2">
        <v>200</v>
      </c>
      <c r="J1169" s="2">
        <v>111.44</v>
      </c>
      <c r="K1169" s="2">
        <v>88.56</v>
      </c>
      <c r="L1169" t="s">
        <v>17</v>
      </c>
    </row>
    <row r="1170" spans="1:12" x14ac:dyDescent="0.35">
      <c r="A1170" t="s">
        <v>1497</v>
      </c>
      <c r="B1170">
        <v>45585</v>
      </c>
      <c r="C1170" t="s">
        <v>974</v>
      </c>
      <c r="D1170" t="s">
        <v>42</v>
      </c>
      <c r="E1170" t="s">
        <v>38</v>
      </c>
      <c r="F1170" t="s">
        <v>58</v>
      </c>
      <c r="G1170">
        <v>4</v>
      </c>
      <c r="H1170" s="2">
        <v>51</v>
      </c>
      <c r="I1170" s="2">
        <v>204</v>
      </c>
      <c r="J1170" s="2">
        <v>139.22</v>
      </c>
      <c r="K1170" s="2">
        <v>64.78</v>
      </c>
      <c r="L1170" t="s">
        <v>44</v>
      </c>
    </row>
    <row r="1171" spans="1:12" x14ac:dyDescent="0.35">
      <c r="A1171" t="s">
        <v>1498</v>
      </c>
      <c r="B1171">
        <v>45386</v>
      </c>
      <c r="C1171" t="s">
        <v>584</v>
      </c>
      <c r="D1171" t="s">
        <v>42</v>
      </c>
      <c r="E1171" t="s">
        <v>33</v>
      </c>
      <c r="F1171" t="s">
        <v>92</v>
      </c>
      <c r="G1171">
        <v>2</v>
      </c>
      <c r="H1171" s="2">
        <v>64</v>
      </c>
      <c r="I1171" s="2">
        <v>128</v>
      </c>
      <c r="J1171" s="2">
        <v>100.71</v>
      </c>
      <c r="K1171" s="2">
        <v>27.29</v>
      </c>
      <c r="L1171" t="s">
        <v>35</v>
      </c>
    </row>
    <row r="1172" spans="1:12" x14ac:dyDescent="0.35">
      <c r="A1172" t="s">
        <v>1499</v>
      </c>
      <c r="B1172">
        <v>45443</v>
      </c>
      <c r="C1172" t="s">
        <v>148</v>
      </c>
      <c r="D1172" t="s">
        <v>24</v>
      </c>
      <c r="E1172" t="s">
        <v>15</v>
      </c>
      <c r="F1172" t="s">
        <v>20</v>
      </c>
      <c r="G1172">
        <v>2</v>
      </c>
      <c r="H1172" s="2">
        <v>87</v>
      </c>
      <c r="I1172" s="2">
        <v>174</v>
      </c>
      <c r="J1172" s="2">
        <v>123.99</v>
      </c>
      <c r="K1172" s="2">
        <v>50.01</v>
      </c>
      <c r="L1172" t="s">
        <v>17</v>
      </c>
    </row>
    <row r="1173" spans="1:12" x14ac:dyDescent="0.35">
      <c r="A1173" t="s">
        <v>1500</v>
      </c>
      <c r="B1173">
        <v>45344</v>
      </c>
      <c r="C1173" t="s">
        <v>273</v>
      </c>
      <c r="D1173" t="s">
        <v>28</v>
      </c>
      <c r="E1173" t="s">
        <v>38</v>
      </c>
      <c r="F1173" t="s">
        <v>39</v>
      </c>
      <c r="G1173">
        <v>2</v>
      </c>
      <c r="H1173" s="2">
        <v>21</v>
      </c>
      <c r="I1173" s="2">
        <v>42</v>
      </c>
      <c r="J1173" s="2">
        <v>24.92</v>
      </c>
      <c r="K1173" s="2">
        <v>17.079999999999998</v>
      </c>
      <c r="L1173" t="s">
        <v>21</v>
      </c>
    </row>
    <row r="1174" spans="1:12" x14ac:dyDescent="0.35">
      <c r="A1174" t="s">
        <v>1501</v>
      </c>
      <c r="B1174">
        <v>45344</v>
      </c>
      <c r="C1174" t="s">
        <v>942</v>
      </c>
      <c r="D1174" t="s">
        <v>24</v>
      </c>
      <c r="E1174" t="s">
        <v>38</v>
      </c>
      <c r="F1174" t="s">
        <v>39</v>
      </c>
      <c r="G1174">
        <v>1</v>
      </c>
      <c r="H1174" s="2">
        <v>89</v>
      </c>
      <c r="I1174" s="2">
        <v>89</v>
      </c>
      <c r="J1174" s="2">
        <v>61.67</v>
      </c>
      <c r="K1174" s="2">
        <v>27.33</v>
      </c>
      <c r="L1174" t="s">
        <v>35</v>
      </c>
    </row>
    <row r="1175" spans="1:12" x14ac:dyDescent="0.35">
      <c r="A1175" t="s">
        <v>1502</v>
      </c>
      <c r="B1175">
        <v>45595</v>
      </c>
      <c r="C1175" t="s">
        <v>99</v>
      </c>
      <c r="D1175" t="s">
        <v>24</v>
      </c>
      <c r="E1175" t="s">
        <v>15</v>
      </c>
      <c r="F1175" t="s">
        <v>20</v>
      </c>
      <c r="G1175">
        <v>5</v>
      </c>
      <c r="H1175" s="2">
        <v>93</v>
      </c>
      <c r="I1175" s="2">
        <v>465</v>
      </c>
      <c r="J1175" s="2">
        <v>297.42</v>
      </c>
      <c r="K1175" s="2">
        <v>167.58</v>
      </c>
      <c r="L1175" t="s">
        <v>35</v>
      </c>
    </row>
    <row r="1176" spans="1:12" x14ac:dyDescent="0.35">
      <c r="A1176" t="s">
        <v>1503</v>
      </c>
      <c r="B1176">
        <v>45531</v>
      </c>
      <c r="C1176" t="s">
        <v>568</v>
      </c>
      <c r="D1176" t="s">
        <v>14</v>
      </c>
      <c r="E1176" t="s">
        <v>15</v>
      </c>
      <c r="F1176" t="s">
        <v>20</v>
      </c>
      <c r="G1176">
        <v>5</v>
      </c>
      <c r="H1176" s="2">
        <v>38</v>
      </c>
      <c r="I1176" s="2">
        <v>190</v>
      </c>
      <c r="J1176" s="2">
        <v>144.22999999999999</v>
      </c>
      <c r="K1176" s="2">
        <v>45.77</v>
      </c>
      <c r="L1176" t="s">
        <v>21</v>
      </c>
    </row>
    <row r="1177" spans="1:12" x14ac:dyDescent="0.35">
      <c r="A1177" t="s">
        <v>1504</v>
      </c>
      <c r="B1177">
        <v>45427</v>
      </c>
      <c r="C1177" t="s">
        <v>150</v>
      </c>
      <c r="D1177" t="s">
        <v>14</v>
      </c>
      <c r="E1177" t="s">
        <v>15</v>
      </c>
      <c r="F1177" t="s">
        <v>20</v>
      </c>
      <c r="G1177">
        <v>5</v>
      </c>
      <c r="H1177" s="2">
        <v>86</v>
      </c>
      <c r="I1177" s="2">
        <v>430</v>
      </c>
      <c r="J1177" s="2">
        <v>215.68</v>
      </c>
      <c r="K1177" s="2">
        <v>214.32</v>
      </c>
      <c r="L1177" t="s">
        <v>17</v>
      </c>
    </row>
    <row r="1178" spans="1:12" x14ac:dyDescent="0.35">
      <c r="A1178" t="s">
        <v>1505</v>
      </c>
      <c r="B1178">
        <v>45452</v>
      </c>
      <c r="C1178" t="s">
        <v>184</v>
      </c>
      <c r="D1178" t="s">
        <v>14</v>
      </c>
      <c r="E1178" t="s">
        <v>38</v>
      </c>
      <c r="F1178" t="s">
        <v>58</v>
      </c>
      <c r="G1178">
        <v>1</v>
      </c>
      <c r="H1178" s="2">
        <v>99</v>
      </c>
      <c r="I1178" s="2">
        <v>99</v>
      </c>
      <c r="J1178" s="2">
        <v>52.68</v>
      </c>
      <c r="K1178" s="2">
        <v>46.32</v>
      </c>
      <c r="L1178" t="s">
        <v>44</v>
      </c>
    </row>
    <row r="1179" spans="1:12" x14ac:dyDescent="0.35">
      <c r="A1179" t="s">
        <v>1506</v>
      </c>
      <c r="B1179">
        <v>45565</v>
      </c>
      <c r="C1179" t="s">
        <v>538</v>
      </c>
      <c r="D1179" t="s">
        <v>28</v>
      </c>
      <c r="E1179" t="s">
        <v>33</v>
      </c>
      <c r="F1179" t="s">
        <v>92</v>
      </c>
      <c r="G1179">
        <v>3</v>
      </c>
      <c r="H1179" s="2">
        <v>61</v>
      </c>
      <c r="I1179" s="2">
        <v>183</v>
      </c>
      <c r="J1179" s="2">
        <v>138.88999999999999</v>
      </c>
      <c r="K1179" s="2">
        <v>44.11</v>
      </c>
      <c r="L1179" t="s">
        <v>44</v>
      </c>
    </row>
    <row r="1180" spans="1:12" x14ac:dyDescent="0.35">
      <c r="A1180" t="s">
        <v>1507</v>
      </c>
      <c r="B1180">
        <v>45542</v>
      </c>
      <c r="C1180" t="s">
        <v>459</v>
      </c>
      <c r="D1180" t="s">
        <v>28</v>
      </c>
      <c r="E1180" t="s">
        <v>38</v>
      </c>
      <c r="F1180" t="s">
        <v>58</v>
      </c>
      <c r="G1180">
        <v>2</v>
      </c>
      <c r="H1180" s="2">
        <v>16</v>
      </c>
      <c r="I1180" s="2">
        <v>32</v>
      </c>
      <c r="J1180" s="2">
        <v>16.059999999999999</v>
      </c>
      <c r="K1180" s="2">
        <v>15.94</v>
      </c>
      <c r="L1180" t="s">
        <v>17</v>
      </c>
    </row>
    <row r="1181" spans="1:12" x14ac:dyDescent="0.35">
      <c r="A1181" t="s">
        <v>1508</v>
      </c>
      <c r="B1181">
        <v>45549</v>
      </c>
      <c r="C1181" t="s">
        <v>643</v>
      </c>
      <c r="D1181" t="s">
        <v>42</v>
      </c>
      <c r="E1181" t="s">
        <v>29</v>
      </c>
      <c r="F1181" t="s">
        <v>75</v>
      </c>
      <c r="G1181">
        <v>3</v>
      </c>
      <c r="H1181" s="2">
        <v>84</v>
      </c>
      <c r="I1181" s="2">
        <v>252</v>
      </c>
      <c r="J1181" s="2">
        <v>194.45</v>
      </c>
      <c r="K1181" s="2">
        <v>57.55</v>
      </c>
      <c r="L1181" t="s">
        <v>44</v>
      </c>
    </row>
    <row r="1182" spans="1:12" x14ac:dyDescent="0.35">
      <c r="A1182" t="s">
        <v>1509</v>
      </c>
      <c r="B1182">
        <v>45514</v>
      </c>
      <c r="C1182" t="s">
        <v>556</v>
      </c>
      <c r="D1182" t="s">
        <v>28</v>
      </c>
      <c r="E1182" t="s">
        <v>15</v>
      </c>
      <c r="F1182" t="s">
        <v>25</v>
      </c>
      <c r="G1182">
        <v>4</v>
      </c>
      <c r="H1182" s="2">
        <v>32</v>
      </c>
      <c r="I1182" s="2">
        <v>128</v>
      </c>
      <c r="J1182" s="2">
        <v>100.92</v>
      </c>
      <c r="K1182" s="2">
        <v>27.08</v>
      </c>
      <c r="L1182" t="s">
        <v>44</v>
      </c>
    </row>
    <row r="1183" spans="1:12" x14ac:dyDescent="0.35">
      <c r="A1183" t="s">
        <v>1510</v>
      </c>
      <c r="B1183">
        <v>45524</v>
      </c>
      <c r="C1183" t="s">
        <v>107</v>
      </c>
      <c r="D1183" t="s">
        <v>28</v>
      </c>
      <c r="E1183" t="s">
        <v>33</v>
      </c>
      <c r="F1183" t="s">
        <v>55</v>
      </c>
      <c r="G1183">
        <v>5</v>
      </c>
      <c r="H1183" s="2">
        <v>63</v>
      </c>
      <c r="I1183" s="2">
        <v>315</v>
      </c>
      <c r="J1183" s="2">
        <v>163.16</v>
      </c>
      <c r="K1183" s="2">
        <v>151.84</v>
      </c>
      <c r="L1183" t="s">
        <v>17</v>
      </c>
    </row>
    <row r="1184" spans="1:12" x14ac:dyDescent="0.35">
      <c r="A1184" t="s">
        <v>1511</v>
      </c>
      <c r="B1184">
        <v>45415</v>
      </c>
      <c r="C1184" t="s">
        <v>649</v>
      </c>
      <c r="D1184" t="s">
        <v>14</v>
      </c>
      <c r="E1184" t="s">
        <v>15</v>
      </c>
      <c r="F1184" t="s">
        <v>20</v>
      </c>
      <c r="G1184">
        <v>2</v>
      </c>
      <c r="H1184" s="2">
        <v>93</v>
      </c>
      <c r="I1184" s="2">
        <v>186</v>
      </c>
      <c r="J1184" s="2">
        <v>95.48</v>
      </c>
      <c r="K1184" s="2">
        <v>90.52</v>
      </c>
      <c r="L1184" t="s">
        <v>21</v>
      </c>
    </row>
    <row r="1185" spans="1:12" x14ac:dyDescent="0.35">
      <c r="A1185" t="s">
        <v>1512</v>
      </c>
      <c r="B1185">
        <v>45501</v>
      </c>
      <c r="C1185" t="s">
        <v>796</v>
      </c>
      <c r="D1185" t="s">
        <v>42</v>
      </c>
      <c r="E1185" t="s">
        <v>38</v>
      </c>
      <c r="F1185" t="s">
        <v>58</v>
      </c>
      <c r="G1185">
        <v>4</v>
      </c>
      <c r="H1185" s="2">
        <v>77</v>
      </c>
      <c r="I1185" s="2">
        <v>308</v>
      </c>
      <c r="J1185" s="2">
        <v>218.64</v>
      </c>
      <c r="K1185" s="2">
        <v>89.36</v>
      </c>
      <c r="L1185" t="s">
        <v>17</v>
      </c>
    </row>
    <row r="1186" spans="1:12" x14ac:dyDescent="0.35">
      <c r="A1186" t="s">
        <v>1513</v>
      </c>
      <c r="B1186">
        <v>45564</v>
      </c>
      <c r="C1186" t="s">
        <v>259</v>
      </c>
      <c r="D1186" t="s">
        <v>24</v>
      </c>
      <c r="E1186" t="s">
        <v>33</v>
      </c>
      <c r="F1186" t="s">
        <v>34</v>
      </c>
      <c r="G1186">
        <v>2</v>
      </c>
      <c r="H1186" s="2">
        <v>99</v>
      </c>
      <c r="I1186" s="2">
        <v>198</v>
      </c>
      <c r="J1186" s="2">
        <v>124.59</v>
      </c>
      <c r="K1186" s="2">
        <v>73.41</v>
      </c>
      <c r="L1186" t="s">
        <v>35</v>
      </c>
    </row>
    <row r="1187" spans="1:12" x14ac:dyDescent="0.35">
      <c r="A1187" t="s">
        <v>1514</v>
      </c>
      <c r="B1187">
        <v>45654</v>
      </c>
      <c r="C1187" t="s">
        <v>342</v>
      </c>
      <c r="D1187" t="s">
        <v>24</v>
      </c>
      <c r="E1187" t="s">
        <v>38</v>
      </c>
      <c r="F1187" t="s">
        <v>39</v>
      </c>
      <c r="G1187">
        <v>5</v>
      </c>
      <c r="H1187" s="2">
        <v>23</v>
      </c>
      <c r="I1187" s="2">
        <v>115</v>
      </c>
      <c r="J1187" s="2">
        <v>89.92</v>
      </c>
      <c r="K1187" s="2">
        <v>25.08</v>
      </c>
      <c r="L1187" t="s">
        <v>21</v>
      </c>
    </row>
    <row r="1188" spans="1:12" x14ac:dyDescent="0.35">
      <c r="A1188" t="s">
        <v>1515</v>
      </c>
      <c r="B1188">
        <v>45633</v>
      </c>
      <c r="C1188" t="s">
        <v>1263</v>
      </c>
      <c r="D1188" t="s">
        <v>42</v>
      </c>
      <c r="E1188" t="s">
        <v>29</v>
      </c>
      <c r="F1188" t="s">
        <v>75</v>
      </c>
      <c r="G1188">
        <v>4</v>
      </c>
      <c r="H1188" s="2">
        <v>60</v>
      </c>
      <c r="I1188" s="2">
        <v>240</v>
      </c>
      <c r="J1188" s="2">
        <v>135.24</v>
      </c>
      <c r="K1188" s="2">
        <v>104.76</v>
      </c>
      <c r="L1188" t="s">
        <v>21</v>
      </c>
    </row>
    <row r="1189" spans="1:12" x14ac:dyDescent="0.35">
      <c r="A1189" t="s">
        <v>1516</v>
      </c>
      <c r="B1189">
        <v>45340</v>
      </c>
      <c r="C1189" t="s">
        <v>352</v>
      </c>
      <c r="D1189" t="s">
        <v>28</v>
      </c>
      <c r="E1189" t="s">
        <v>33</v>
      </c>
      <c r="F1189" t="s">
        <v>55</v>
      </c>
      <c r="G1189">
        <v>2</v>
      </c>
      <c r="H1189" s="2">
        <v>15</v>
      </c>
      <c r="I1189" s="2">
        <v>30</v>
      </c>
      <c r="J1189" s="2">
        <v>20.28</v>
      </c>
      <c r="K1189" s="2">
        <v>9.7200000000000006</v>
      </c>
      <c r="L1189" t="s">
        <v>44</v>
      </c>
    </row>
    <row r="1190" spans="1:12" x14ac:dyDescent="0.35">
      <c r="A1190" t="s">
        <v>1517</v>
      </c>
      <c r="B1190">
        <v>45460</v>
      </c>
      <c r="C1190" t="s">
        <v>64</v>
      </c>
      <c r="D1190" t="s">
        <v>28</v>
      </c>
      <c r="E1190" t="s">
        <v>33</v>
      </c>
      <c r="F1190" t="s">
        <v>34</v>
      </c>
      <c r="G1190">
        <v>4</v>
      </c>
      <c r="H1190" s="2">
        <v>97</v>
      </c>
      <c r="I1190" s="2">
        <v>388</v>
      </c>
      <c r="J1190" s="2">
        <v>251.24</v>
      </c>
      <c r="K1190" s="2">
        <v>136.76</v>
      </c>
      <c r="L1190" t="s">
        <v>17</v>
      </c>
    </row>
    <row r="1191" spans="1:12" x14ac:dyDescent="0.35">
      <c r="A1191" t="s">
        <v>1518</v>
      </c>
      <c r="B1191">
        <v>45634</v>
      </c>
      <c r="C1191" t="s">
        <v>762</v>
      </c>
      <c r="D1191" t="s">
        <v>42</v>
      </c>
      <c r="E1191" t="s">
        <v>38</v>
      </c>
      <c r="F1191" t="s">
        <v>52</v>
      </c>
      <c r="G1191">
        <v>3</v>
      </c>
      <c r="H1191" s="2">
        <v>21</v>
      </c>
      <c r="I1191" s="2">
        <v>63</v>
      </c>
      <c r="J1191" s="2">
        <v>41.45</v>
      </c>
      <c r="K1191" s="2">
        <v>21.55</v>
      </c>
      <c r="L1191" t="s">
        <v>35</v>
      </c>
    </row>
    <row r="1192" spans="1:12" x14ac:dyDescent="0.35">
      <c r="A1192" t="s">
        <v>1519</v>
      </c>
      <c r="B1192">
        <v>45641</v>
      </c>
      <c r="C1192" t="s">
        <v>243</v>
      </c>
      <c r="D1192" t="s">
        <v>42</v>
      </c>
      <c r="E1192" t="s">
        <v>33</v>
      </c>
      <c r="F1192" t="s">
        <v>34</v>
      </c>
      <c r="G1192">
        <v>3</v>
      </c>
      <c r="H1192" s="2">
        <v>56</v>
      </c>
      <c r="I1192" s="2">
        <v>168</v>
      </c>
      <c r="J1192" s="2">
        <v>117.6</v>
      </c>
      <c r="K1192" s="2">
        <v>50.4</v>
      </c>
      <c r="L1192" t="s">
        <v>44</v>
      </c>
    </row>
    <row r="1193" spans="1:12" x14ac:dyDescent="0.35">
      <c r="A1193" t="s">
        <v>1520</v>
      </c>
      <c r="B1193">
        <v>45372</v>
      </c>
      <c r="C1193" t="s">
        <v>234</v>
      </c>
      <c r="D1193" t="s">
        <v>28</v>
      </c>
      <c r="E1193" t="s">
        <v>15</v>
      </c>
      <c r="F1193" t="s">
        <v>16</v>
      </c>
      <c r="G1193">
        <v>2</v>
      </c>
      <c r="H1193" s="2">
        <v>23</v>
      </c>
      <c r="I1193" s="2">
        <v>46</v>
      </c>
      <c r="J1193" s="2">
        <v>32.24</v>
      </c>
      <c r="K1193" s="2">
        <v>13.76</v>
      </c>
      <c r="L1193" t="s">
        <v>21</v>
      </c>
    </row>
    <row r="1194" spans="1:12" x14ac:dyDescent="0.35">
      <c r="A1194" t="s">
        <v>1521</v>
      </c>
      <c r="B1194">
        <v>45447</v>
      </c>
      <c r="C1194" t="s">
        <v>461</v>
      </c>
      <c r="D1194" t="s">
        <v>24</v>
      </c>
      <c r="E1194" t="s">
        <v>38</v>
      </c>
      <c r="F1194" t="s">
        <v>52</v>
      </c>
      <c r="G1194">
        <v>1</v>
      </c>
      <c r="H1194" s="2">
        <v>47</v>
      </c>
      <c r="I1194" s="2">
        <v>47</v>
      </c>
      <c r="J1194" s="2">
        <v>27.23</v>
      </c>
      <c r="K1194" s="2">
        <v>19.77</v>
      </c>
      <c r="L1194" t="s">
        <v>35</v>
      </c>
    </row>
    <row r="1195" spans="1:12" x14ac:dyDescent="0.35">
      <c r="A1195" t="s">
        <v>1522</v>
      </c>
      <c r="B1195">
        <v>45388</v>
      </c>
      <c r="C1195" t="s">
        <v>87</v>
      </c>
      <c r="D1195" t="s">
        <v>42</v>
      </c>
      <c r="E1195" t="s">
        <v>38</v>
      </c>
      <c r="F1195" t="s">
        <v>58</v>
      </c>
      <c r="G1195">
        <v>5</v>
      </c>
      <c r="H1195" s="2">
        <v>34</v>
      </c>
      <c r="I1195" s="2">
        <v>170</v>
      </c>
      <c r="J1195" s="2">
        <v>105.03</v>
      </c>
      <c r="K1195" s="2">
        <v>64.97</v>
      </c>
      <c r="L1195" t="s">
        <v>17</v>
      </c>
    </row>
    <row r="1196" spans="1:12" x14ac:dyDescent="0.35">
      <c r="A1196" t="s">
        <v>1523</v>
      </c>
      <c r="B1196">
        <v>45568</v>
      </c>
      <c r="C1196" t="s">
        <v>559</v>
      </c>
      <c r="D1196" t="s">
        <v>24</v>
      </c>
      <c r="E1196" t="s">
        <v>15</v>
      </c>
      <c r="F1196" t="s">
        <v>25</v>
      </c>
      <c r="G1196">
        <v>5</v>
      </c>
      <c r="H1196" s="2">
        <v>92</v>
      </c>
      <c r="I1196" s="2">
        <v>460</v>
      </c>
      <c r="J1196" s="2">
        <v>267.85000000000002</v>
      </c>
      <c r="K1196" s="2">
        <v>192.15</v>
      </c>
      <c r="L1196" t="s">
        <v>44</v>
      </c>
    </row>
    <row r="1197" spans="1:12" x14ac:dyDescent="0.35">
      <c r="A1197" t="s">
        <v>1524</v>
      </c>
      <c r="B1197">
        <v>45534</v>
      </c>
      <c r="C1197" t="s">
        <v>950</v>
      </c>
      <c r="D1197" t="s">
        <v>28</v>
      </c>
      <c r="E1197" t="s">
        <v>15</v>
      </c>
      <c r="F1197" t="s">
        <v>20</v>
      </c>
      <c r="G1197">
        <v>2</v>
      </c>
      <c r="H1197" s="2">
        <v>35</v>
      </c>
      <c r="I1197" s="2">
        <v>70</v>
      </c>
      <c r="J1197" s="2">
        <v>45.89</v>
      </c>
      <c r="K1197" s="2">
        <v>24.11</v>
      </c>
      <c r="L1197" t="s">
        <v>21</v>
      </c>
    </row>
    <row r="1198" spans="1:12" x14ac:dyDescent="0.35">
      <c r="A1198" t="s">
        <v>1525</v>
      </c>
      <c r="B1198">
        <v>45651</v>
      </c>
      <c r="C1198" t="s">
        <v>749</v>
      </c>
      <c r="D1198" t="s">
        <v>14</v>
      </c>
      <c r="E1198" t="s">
        <v>29</v>
      </c>
      <c r="F1198" t="s">
        <v>47</v>
      </c>
      <c r="G1198">
        <v>4</v>
      </c>
      <c r="H1198" s="2">
        <v>13</v>
      </c>
      <c r="I1198" s="2">
        <v>52</v>
      </c>
      <c r="J1198" s="2">
        <v>32.82</v>
      </c>
      <c r="K1198" s="2">
        <v>19.18</v>
      </c>
      <c r="L1198" t="s">
        <v>21</v>
      </c>
    </row>
    <row r="1199" spans="1:12" x14ac:dyDescent="0.35">
      <c r="A1199" t="s">
        <v>1526</v>
      </c>
      <c r="B1199">
        <v>45474</v>
      </c>
      <c r="C1199" t="s">
        <v>245</v>
      </c>
      <c r="D1199" t="s">
        <v>28</v>
      </c>
      <c r="E1199" t="s">
        <v>33</v>
      </c>
      <c r="F1199" t="s">
        <v>34</v>
      </c>
      <c r="G1199">
        <v>2</v>
      </c>
      <c r="H1199" s="2">
        <v>71</v>
      </c>
      <c r="I1199" s="2">
        <v>142</v>
      </c>
      <c r="J1199" s="2">
        <v>88.32</v>
      </c>
      <c r="K1199" s="2">
        <v>53.68</v>
      </c>
      <c r="L1199" t="s">
        <v>21</v>
      </c>
    </row>
    <row r="1200" spans="1:12" x14ac:dyDescent="0.35">
      <c r="A1200" t="s">
        <v>1527</v>
      </c>
      <c r="B1200">
        <v>45606</v>
      </c>
      <c r="C1200" t="s">
        <v>220</v>
      </c>
      <c r="D1200" t="s">
        <v>14</v>
      </c>
      <c r="E1200" t="s">
        <v>29</v>
      </c>
      <c r="F1200" t="s">
        <v>47</v>
      </c>
      <c r="G1200">
        <v>3</v>
      </c>
      <c r="H1200" s="2">
        <v>21</v>
      </c>
      <c r="I1200" s="2">
        <v>63</v>
      </c>
      <c r="J1200" s="2">
        <v>44.77</v>
      </c>
      <c r="K1200" s="2">
        <v>18.23</v>
      </c>
      <c r="L1200" t="s">
        <v>17</v>
      </c>
    </row>
    <row r="1201" spans="1:12" x14ac:dyDescent="0.35">
      <c r="A1201" t="s">
        <v>1528</v>
      </c>
      <c r="B1201">
        <v>45531</v>
      </c>
      <c r="C1201" t="s">
        <v>1529</v>
      </c>
      <c r="D1201" t="s">
        <v>42</v>
      </c>
      <c r="E1201" t="s">
        <v>29</v>
      </c>
      <c r="F1201" t="s">
        <v>43</v>
      </c>
      <c r="G1201">
        <v>2</v>
      </c>
      <c r="H1201" s="2">
        <v>60</v>
      </c>
      <c r="I1201" s="2">
        <v>120</v>
      </c>
      <c r="J1201" s="2">
        <v>90.86</v>
      </c>
      <c r="K1201" s="2">
        <v>29.14</v>
      </c>
      <c r="L1201" t="s">
        <v>17</v>
      </c>
    </row>
  </sheetData>
  <pageMargins left="0.25" right="0.25" top="0.75" bottom="0.75" header="0.3" footer="0.3"/>
  <pageSetup paperSize="9" scale="78"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
  <sheetViews>
    <sheetView showGridLines="0" tabSelected="1" zoomScale="70" zoomScaleNormal="70" workbookViewId="0">
      <selection activeCell="S3" sqref="S3"/>
    </sheetView>
  </sheetViews>
  <sheetFormatPr defaultRowHeight="14.5" x14ac:dyDescent="0.35"/>
  <cols>
    <col min="1" max="1" width="10.54296875" bestFit="1" customWidth="1"/>
    <col min="2" max="2" width="11.1796875" bestFit="1" customWidth="1"/>
    <col min="3" max="3" width="15.453125" bestFit="1" customWidth="1"/>
    <col min="4" max="4" width="14.6328125" bestFit="1" customWidth="1"/>
    <col min="5" max="5" width="14.90625" bestFit="1" customWidth="1"/>
    <col min="6" max="6" width="16.08984375" bestFit="1" customWidth="1"/>
    <col min="7" max="7" width="14" bestFit="1" customWidth="1"/>
    <col min="8" max="8" width="17.7265625" bestFit="1" customWidth="1"/>
    <col min="9" max="9" width="16.36328125" bestFit="1" customWidth="1"/>
    <col min="10" max="10" width="6.81640625" bestFit="1" customWidth="1"/>
  </cols>
  <sheetData>
    <row r="1" spans="1:12" ht="33.5" x14ac:dyDescent="0.35">
      <c r="A1" s="8" t="s">
        <v>1540</v>
      </c>
      <c r="B1" s="8"/>
      <c r="C1" s="8"/>
      <c r="D1" s="8"/>
      <c r="E1" s="8"/>
      <c r="F1" s="8"/>
      <c r="G1" s="8"/>
      <c r="H1" s="8"/>
      <c r="I1" s="8"/>
      <c r="J1" s="8"/>
      <c r="L1" s="7"/>
    </row>
    <row r="2" spans="1:12" ht="21" x14ac:dyDescent="0.35">
      <c r="C2" s="9" t="s">
        <v>1536</v>
      </c>
      <c r="D2" s="10">
        <f>SUM(Table1[Profit])</f>
        <v>69470.190000000017</v>
      </c>
      <c r="E2" s="9" t="s">
        <v>1537</v>
      </c>
      <c r="F2" s="10">
        <f>SUM(Table1[Total Sales])</f>
        <v>197155</v>
      </c>
      <c r="G2" s="9" t="s">
        <v>1538</v>
      </c>
      <c r="H2" s="11">
        <f>SUM(Table1[Cost])</f>
        <v>127684.80999999995</v>
      </c>
      <c r="I2" s="9" t="s">
        <v>1539</v>
      </c>
      <c r="J2" s="9">
        <f>COUNTA(Table1[Order ID])</f>
        <v>1200</v>
      </c>
    </row>
  </sheetData>
  <mergeCells count="1">
    <mergeCell ref="A1:J1"/>
  </mergeCells>
  <pageMargins left="1" right="1" top="1" bottom="1" header="0.5" footer="0.5"/>
  <pageSetup paperSize="9" scale="68"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Sheet6</vt:lpstr>
      <vt:lpstr>Cleaned_data</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SHANTO</cp:lastModifiedBy>
  <cp:lastPrinted>2026-05-03T16:28:00Z</cp:lastPrinted>
  <dcterms:created xsi:type="dcterms:W3CDTF">2026-02-26T17:19:46Z</dcterms:created>
  <dcterms:modified xsi:type="dcterms:W3CDTF">2026-05-03T16:55:25Z</dcterms:modified>
</cp:coreProperties>
</file>